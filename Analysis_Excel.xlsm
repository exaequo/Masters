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drawings/drawing5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Hubert\Desktop\Magisterka\Masters\"/>
    </mc:Choice>
  </mc:AlternateContent>
  <xr:revisionPtr revIDLastSave="0" documentId="10_ncr:100000_{9B04A6F5-1FAD-4A3E-B142-B543FB3B83B4}" xr6:coauthVersionLast="31" xr6:coauthVersionMax="31" xr10:uidLastSave="{00000000-0000-0000-0000-000000000000}"/>
  <bookViews>
    <workbookView xWindow="0" yWindow="0" windowWidth="21570" windowHeight="7980" tabRatio="770" activeTab="1" xr2:uid="{DCA1F7A7-6192-4499-86A4-2217AE7CB845}"/>
  </bookViews>
  <sheets>
    <sheet name="RESULTS" sheetId="6" r:id="rId1"/>
    <sheet name="ADDITIONALS" sheetId="11" r:id="rId2"/>
    <sheet name="RESULTS_DELTA" sheetId="8" r:id="rId3"/>
    <sheet name="Diagrams_D" sheetId="9" r:id="rId4"/>
    <sheet name="GENERATE" sheetId="7" r:id="rId5"/>
    <sheet name="swipe_mesh" sheetId="1" r:id="rId6"/>
    <sheet name="Excel2LaTeX" sheetId="10" state="hidden" r:id="rId7"/>
    <sheet name="click_mesh" sheetId="3" r:id="rId8"/>
    <sheet name="swipe_2d" sheetId="4" r:id="rId9"/>
    <sheet name="click_2d" sheetId="5" r:id="rId10"/>
  </sheets>
  <functionGroups builtInGroupCount="19"/>
  <definedNames>
    <definedName name="_xlnm.Print_Area" localSheetId="0">RESULTS!$A$1:$AD$54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49" i="11" l="1"/>
  <c r="AD48" i="11"/>
  <c r="AD47" i="11"/>
  <c r="AD44" i="11"/>
  <c r="AD69" i="11" s="1"/>
  <c r="AD43" i="11"/>
  <c r="AD68" i="11" s="1"/>
  <c r="AE42" i="11"/>
  <c r="AE67" i="11" s="1"/>
  <c r="AD42" i="11"/>
  <c r="AD67" i="11" s="1"/>
  <c r="AD70" i="11"/>
  <c r="AE70" i="11"/>
  <c r="AD71" i="11"/>
  <c r="AE43" i="11"/>
  <c r="AE68" i="11" s="1"/>
  <c r="AE44" i="11"/>
  <c r="AE69" i="11" s="1"/>
  <c r="AD45" i="11"/>
  <c r="AE45" i="11"/>
  <c r="AD46" i="11"/>
  <c r="AE46" i="11"/>
  <c r="AE71" i="11" s="1"/>
  <c r="AE47" i="11"/>
  <c r="AE48" i="11"/>
  <c r="AE49" i="11"/>
  <c r="AD50" i="11"/>
  <c r="AE50" i="11"/>
  <c r="AD51" i="11"/>
  <c r="AE51" i="11"/>
  <c r="AD52" i="11"/>
  <c r="AE52" i="11"/>
  <c r="AD53" i="11"/>
  <c r="AE53" i="11"/>
  <c r="AD54" i="11"/>
  <c r="AE54" i="11"/>
  <c r="AD55" i="11"/>
  <c r="AE55" i="11"/>
  <c r="AD56" i="11"/>
  <c r="AE56" i="11"/>
  <c r="AD57" i="11"/>
  <c r="AE57" i="11"/>
  <c r="AD58" i="11"/>
  <c r="AE58" i="11"/>
  <c r="AD59" i="11"/>
  <c r="AE59" i="11"/>
  <c r="AD60" i="11"/>
  <c r="AE60" i="11"/>
  <c r="AD61" i="11"/>
  <c r="AE61" i="11"/>
  <c r="AD62" i="11"/>
  <c r="AE62" i="11"/>
  <c r="AD63" i="11"/>
  <c r="AE63" i="11"/>
  <c r="AD64" i="11"/>
  <c r="AE64" i="11"/>
  <c r="AD65" i="11"/>
  <c r="AE65" i="11"/>
  <c r="AD66" i="11"/>
  <c r="AE66" i="11"/>
  <c r="CC31" i="11" l="1"/>
  <c r="BX31" i="11"/>
  <c r="BS31" i="11"/>
  <c r="BN31" i="11"/>
  <c r="BI31" i="11"/>
  <c r="J145" i="11"/>
  <c r="O145" i="11"/>
  <c r="T145" i="11"/>
  <c r="Y145" i="11"/>
  <c r="J146" i="11"/>
  <c r="O146" i="11"/>
  <c r="T146" i="11"/>
  <c r="Y146" i="11"/>
  <c r="J147" i="11"/>
  <c r="O147" i="11"/>
  <c r="T147" i="11"/>
  <c r="Y147" i="11"/>
  <c r="J148" i="11"/>
  <c r="O148" i="11"/>
  <c r="T148" i="11"/>
  <c r="Y148" i="11"/>
  <c r="J149" i="11"/>
  <c r="O149" i="11"/>
  <c r="T149" i="11"/>
  <c r="Y149" i="11"/>
  <c r="J150" i="11"/>
  <c r="O150" i="11"/>
  <c r="T150" i="11"/>
  <c r="Y150" i="11"/>
  <c r="J151" i="11"/>
  <c r="O151" i="11"/>
  <c r="T151" i="11"/>
  <c r="Y151" i="11"/>
  <c r="J152" i="11"/>
  <c r="O152" i="11"/>
  <c r="T152" i="11"/>
  <c r="Y152" i="11"/>
  <c r="E146" i="11"/>
  <c r="E147" i="11"/>
  <c r="E148" i="11"/>
  <c r="E149" i="11"/>
  <c r="E150" i="11"/>
  <c r="E151" i="11"/>
  <c r="E152" i="11"/>
  <c r="E145" i="11"/>
  <c r="Q90" i="11" l="1"/>
  <c r="R90" i="11"/>
  <c r="S90" i="11"/>
  <c r="T90" i="11"/>
  <c r="U90" i="11"/>
  <c r="Q92" i="11"/>
  <c r="R92" i="11"/>
  <c r="S92" i="11"/>
  <c r="T92" i="11"/>
  <c r="U92" i="11"/>
  <c r="Q94" i="11"/>
  <c r="R94" i="11"/>
  <c r="S94" i="11"/>
  <c r="T94" i="11"/>
  <c r="U94" i="11"/>
  <c r="R88" i="11"/>
  <c r="S88" i="11"/>
  <c r="T88" i="11"/>
  <c r="U88" i="11"/>
  <c r="Q88" i="11"/>
  <c r="E88" i="11"/>
  <c r="F88" i="11"/>
  <c r="G88" i="11"/>
  <c r="H88" i="11"/>
  <c r="E90" i="11"/>
  <c r="F90" i="11"/>
  <c r="G90" i="11"/>
  <c r="H90" i="11"/>
  <c r="E92" i="11"/>
  <c r="F92" i="11"/>
  <c r="G92" i="11"/>
  <c r="H92" i="11"/>
  <c r="E94" i="11"/>
  <c r="F94" i="11"/>
  <c r="G94" i="11"/>
  <c r="H94" i="11"/>
  <c r="D90" i="11"/>
  <c r="D92" i="11"/>
  <c r="D94" i="11"/>
  <c r="D88" i="11"/>
  <c r="O24" i="11" l="1"/>
  <c r="T24" i="11"/>
  <c r="Y24" i="11"/>
  <c r="O25" i="11"/>
  <c r="T25" i="11"/>
  <c r="Y25" i="11"/>
  <c r="E24" i="11"/>
  <c r="E25" i="11"/>
  <c r="J21" i="11"/>
  <c r="O21" i="11"/>
  <c r="T21" i="11"/>
  <c r="Y21" i="11"/>
  <c r="J22" i="11"/>
  <c r="O22" i="11"/>
  <c r="T22" i="11"/>
  <c r="Y22" i="11"/>
  <c r="J24" i="11"/>
  <c r="J25" i="11"/>
  <c r="E18" i="11"/>
  <c r="E19" i="11"/>
  <c r="E21" i="11"/>
  <c r="E22" i="11"/>
  <c r="J18" i="11"/>
  <c r="O18" i="11"/>
  <c r="T18" i="11"/>
  <c r="Y18" i="11"/>
  <c r="J19" i="11"/>
  <c r="O19" i="11"/>
  <c r="T19" i="11"/>
  <c r="Y19" i="11"/>
  <c r="J15" i="11"/>
  <c r="O15" i="11"/>
  <c r="T15" i="11"/>
  <c r="Y15" i="11"/>
  <c r="J16" i="11"/>
  <c r="O16" i="11"/>
  <c r="T16" i="11"/>
  <c r="Y16" i="11"/>
  <c r="E16" i="11"/>
  <c r="E15" i="11"/>
  <c r="Z22" i="11" l="1"/>
  <c r="Z24" i="11"/>
  <c r="Z15" i="11"/>
  <c r="Z18" i="11"/>
  <c r="Z19" i="11"/>
  <c r="Z25" i="11"/>
  <c r="Z16" i="11"/>
  <c r="Z21" i="11"/>
</calcChain>
</file>

<file path=xl/sharedStrings.xml><?xml version="1.0" encoding="utf-8"?>
<sst xmlns="http://schemas.openxmlformats.org/spreadsheetml/2006/main" count="885" uniqueCount="93">
  <si>
    <t xml:space="preserve">
</t>
  </si>
  <si>
    <t>N_o</t>
  </si>
  <si>
    <t>n</t>
  </si>
  <si>
    <t>LEVEL 1</t>
  </si>
  <si>
    <t>LEVEL 2</t>
  </si>
  <si>
    <t>LEVEL 3</t>
  </si>
  <si>
    <t>LEVEL 4</t>
  </si>
  <si>
    <t>t_Abs</t>
  </si>
  <si>
    <t>t_Ball</t>
  </si>
  <si>
    <t>clicks</t>
  </si>
  <si>
    <t>rots</t>
  </si>
  <si>
    <t>err</t>
  </si>
  <si>
    <t>swipe_mesh</t>
  </si>
  <si>
    <t>median</t>
  </si>
  <si>
    <t>mean</t>
  </si>
  <si>
    <t>click_mesh</t>
  </si>
  <si>
    <t>swipe_2d</t>
  </si>
  <si>
    <t>click_2d</t>
  </si>
  <si>
    <t>DATES</t>
  </si>
  <si>
    <t>22-07-18</t>
  </si>
  <si>
    <t>23-07-18</t>
  </si>
  <si>
    <t>24-07-18</t>
  </si>
  <si>
    <t>Select which dates you want to generate and press the button</t>
  </si>
  <si>
    <t>range</t>
  </si>
  <si>
    <t>std_dev</t>
  </si>
  <si>
    <t>LEGENDA</t>
  </si>
  <si>
    <t xml:space="preserve"> Czas liczony od włączenia poziomu do dotarcia ostatniej kulki do środka</t>
  </si>
  <si>
    <t>Czas liczony od startu pierwszej kulki do momentu wpadnięcia ostantiej</t>
  </si>
  <si>
    <t>Liczba 'błędów' popełnionych przez graczy</t>
  </si>
  <si>
    <t>Ilość rotacji pierścieni na danym poziomie</t>
  </si>
  <si>
    <t>Ilość wykonanych operacji dotknięcia ekranu</t>
  </si>
  <si>
    <t>Dla każdego gracza przeprowadzony został test dwukortnego przejścia</t>
  </si>
  <si>
    <t>pierwszych pięciu poziomów. W wierszach oznaczanych '1' widnieją</t>
  </si>
  <si>
    <t xml:space="preserve">zestawienia wszystkich wyników pierwszego przejścia. W wierszach </t>
  </si>
  <si>
    <t>oznaczanych '2' widnieją wyniki z drugiego przejścia.</t>
  </si>
  <si>
    <t>LEVEL 5</t>
  </si>
  <si>
    <t>t_Think</t>
  </si>
  <si>
    <t>first_quart</t>
  </si>
  <si>
    <t>variant</t>
  </si>
  <si>
    <t>third_quart</t>
  </si>
  <si>
    <t>kurt</t>
  </si>
  <si>
    <t>skew</t>
  </si>
  <si>
    <t>coef_of_var</t>
  </si>
  <si>
    <t>6-08-18</t>
  </si>
  <si>
    <t>min</t>
  </si>
  <si>
    <t>max</t>
  </si>
  <si>
    <t>MEAN</t>
  </si>
  <si>
    <t>MEDIAN</t>
  </si>
  <si>
    <t>FIRST_QUART</t>
  </si>
  <si>
    <t>THIRD_QUART</t>
  </si>
  <si>
    <t>RANGE</t>
  </si>
  <si>
    <t>MIN</t>
  </si>
  <si>
    <t>MAX</t>
  </si>
  <si>
    <t>RangeAddress</t>
  </si>
  <si>
    <t>Options</t>
  </si>
  <si>
    <t>CellWidth</t>
  </si>
  <si>
    <t>Indent</t>
  </si>
  <si>
    <t>FileName</t>
  </si>
  <si>
    <t>c_START</t>
  </si>
  <si>
    <t>ERRORS</t>
  </si>
  <si>
    <t>errors 1</t>
  </si>
  <si>
    <t>errors 2</t>
  </si>
  <si>
    <t>rel_avg_rots</t>
  </si>
  <si>
    <t>re_avg_touches</t>
  </si>
  <si>
    <t>swipe3d</t>
  </si>
  <si>
    <t>click3d</t>
  </si>
  <si>
    <t>swipe2d</t>
  </si>
  <si>
    <t>click2d</t>
  </si>
  <si>
    <t>POTRZEBNE OBROTY</t>
  </si>
  <si>
    <t>POTRZEBNE CLICKI</t>
  </si>
  <si>
    <t>Swipe 2D</t>
  </si>
  <si>
    <t>Swipe 3D</t>
  </si>
  <si>
    <t>Click 3D</t>
  </si>
  <si>
    <t>r_min</t>
  </si>
  <si>
    <t>c_min</t>
  </si>
  <si>
    <t>Level 1</t>
  </si>
  <si>
    <t>Level 2</t>
  </si>
  <si>
    <t>Level 3</t>
  </si>
  <si>
    <t>Level 4</t>
  </si>
  <si>
    <t>Level 5</t>
  </si>
  <si>
    <t>wykres tThink/tAbs</t>
  </si>
  <si>
    <t>SWIPE: 10.76/2.74/0/1/3/;16.15/5.97/0/2/3/;20.03/11.05/0/1/3/;12.23/3.74/0/1/3/;15.22/7.01/0/1/3/;</t>
  </si>
  <si>
    <t>CLICK: 11.65/2.76/0/1/4/;17.40/5.99/0/3/5/;21.24/10.99/0/1/4/;15.31/3.77/0/1/4/;18.26/7.01/0/2/5/;</t>
  </si>
  <si>
    <t>REFERENCES</t>
  </si>
  <si>
    <t>Swipe</t>
  </si>
  <si>
    <t>Click</t>
  </si>
  <si>
    <t>lvl</t>
  </si>
  <si>
    <t>param</t>
  </si>
  <si>
    <t>references</t>
  </si>
  <si>
    <t>STDEV</t>
  </si>
  <si>
    <t>ref tabs</t>
  </si>
  <si>
    <t>ref clicks</t>
  </si>
  <si>
    <t>ref rotations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</si>
</sst>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1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34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7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6" borderId="0" xfId="0" applyFont="1" applyFill="1" applyBorder="1" applyAlignment="1">
      <alignment horizontal="center" vertical="center"/>
    </xf>
    <xf numFmtId="0" fontId="2" fillId="8" borderId="0" xfId="0" applyFont="1" applyFill="1"/>
    <xf numFmtId="0" fontId="2" fillId="3" borderId="0" xfId="0" applyFont="1" applyFill="1"/>
    <xf numFmtId="0" fontId="1" fillId="3" borderId="0" xfId="0" applyFont="1" applyFill="1"/>
    <xf numFmtId="0" fontId="1" fillId="7" borderId="0" xfId="0" applyFont="1" applyFill="1"/>
    <xf numFmtId="0" fontId="0" fillId="2" borderId="2" xfId="0" applyFill="1" applyBorder="1" applyAlignment="1">
      <alignment horizontal="center"/>
    </xf>
    <xf numFmtId="0" fontId="0" fillId="2" borderId="2" xfId="0" applyFill="1" applyBorder="1" applyAlignment="1">
      <alignment horizontal="center" wrapText="1"/>
    </xf>
    <xf numFmtId="0" fontId="0" fillId="4" borderId="2" xfId="0" applyFill="1" applyBorder="1" applyAlignment="1">
      <alignment horizontal="center"/>
    </xf>
    <xf numFmtId="0" fontId="2" fillId="3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4" xfId="0" applyFont="1" applyFill="1" applyBorder="1"/>
    <xf numFmtId="0" fontId="2" fillId="7" borderId="5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/>
    </xf>
    <xf numFmtId="0" fontId="1" fillId="3" borderId="4" xfId="0" applyFont="1" applyFill="1" applyBorder="1"/>
    <xf numFmtId="0" fontId="2" fillId="3" borderId="5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2" fillId="3" borderId="4" xfId="0" applyFont="1" applyFill="1" applyBorder="1"/>
    <xf numFmtId="0" fontId="2" fillId="8" borderId="4" xfId="0" applyFont="1" applyFill="1" applyBorder="1"/>
    <xf numFmtId="0" fontId="0" fillId="5" borderId="4" xfId="0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2" fillId="6" borderId="8" xfId="0" applyFont="1" applyFill="1" applyBorder="1" applyAlignment="1">
      <alignment horizontal="center" vertical="center"/>
    </xf>
    <xf numFmtId="0" fontId="0" fillId="5" borderId="7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0" xfId="0" applyFill="1" applyBorder="1" applyAlignment="1">
      <alignment horizontal="center" wrapText="1"/>
    </xf>
    <xf numFmtId="0" fontId="0" fillId="4" borderId="11" xfId="0" applyFill="1" applyBorder="1" applyAlignment="1">
      <alignment horizontal="center"/>
    </xf>
    <xf numFmtId="0" fontId="2" fillId="6" borderId="13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3" fillId="8" borderId="4" xfId="0" applyFont="1" applyFill="1" applyBorder="1" applyAlignment="1">
      <alignment horizontal="right"/>
    </xf>
    <xf numFmtId="49" fontId="0" fillId="2" borderId="0" xfId="0" applyNumberFormat="1" applyFill="1"/>
    <xf numFmtId="49" fontId="0" fillId="4" borderId="0" xfId="0" applyNumberFormat="1" applyFill="1"/>
    <xf numFmtId="2" fontId="0" fillId="2" borderId="1" xfId="0" applyNumberFormat="1" applyFill="1" applyBorder="1" applyAlignment="1">
      <alignment horizontal="center" wrapText="1"/>
    </xf>
    <xf numFmtId="2" fontId="0" fillId="2" borderId="9" xfId="0" applyNumberFormat="1" applyFill="1" applyBorder="1" applyAlignment="1">
      <alignment horizontal="center"/>
    </xf>
    <xf numFmtId="2" fontId="0" fillId="4" borderId="1" xfId="0" applyNumberFormat="1" applyFill="1" applyBorder="1" applyAlignment="1">
      <alignment horizontal="center" wrapText="1"/>
    </xf>
    <xf numFmtId="2" fontId="0" fillId="4" borderId="9" xfId="0" applyNumberFormat="1" applyFill="1" applyBorder="1" applyAlignment="1">
      <alignment horizontal="center" wrapText="1"/>
    </xf>
    <xf numFmtId="2" fontId="0" fillId="2" borderId="9" xfId="0" applyNumberFormat="1" applyFill="1" applyBorder="1" applyAlignment="1">
      <alignment horizontal="center" wrapText="1"/>
    </xf>
    <xf numFmtId="2" fontId="0" fillId="0" borderId="0" xfId="0" applyNumberFormat="1"/>
    <xf numFmtId="2" fontId="0" fillId="2" borderId="2" xfId="0" applyNumberFormat="1" applyFill="1" applyBorder="1" applyAlignment="1">
      <alignment horizontal="center"/>
    </xf>
    <xf numFmtId="2" fontId="0" fillId="2" borderId="10" xfId="0" applyNumberFormat="1" applyFill="1" applyBorder="1" applyAlignment="1">
      <alignment horizontal="center"/>
    </xf>
    <xf numFmtId="2" fontId="0" fillId="4" borderId="2" xfId="0" applyNumberFormat="1" applyFill="1" applyBorder="1" applyAlignment="1">
      <alignment horizontal="center"/>
    </xf>
    <xf numFmtId="2" fontId="0" fillId="4" borderId="10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2" fontId="0" fillId="4" borderId="1" xfId="0" applyNumberFormat="1" applyFill="1" applyBorder="1" applyAlignment="1">
      <alignment horizontal="center"/>
    </xf>
    <xf numFmtId="2" fontId="0" fillId="4" borderId="9" xfId="0" applyNumberFormat="1" applyFill="1" applyBorder="1" applyAlignment="1">
      <alignment horizontal="center"/>
    </xf>
    <xf numFmtId="2" fontId="2" fillId="3" borderId="0" xfId="0" applyNumberFormat="1" applyFont="1" applyFill="1"/>
    <xf numFmtId="2" fontId="1" fillId="3" borderId="0" xfId="0" applyNumberFormat="1" applyFont="1" applyFill="1"/>
    <xf numFmtId="2" fontId="2" fillId="3" borderId="3" xfId="0" applyNumberFormat="1" applyFont="1" applyFill="1" applyBorder="1" applyAlignment="1">
      <alignment horizontal="center" vertical="center"/>
    </xf>
    <xf numFmtId="2" fontId="0" fillId="2" borderId="15" xfId="0" applyNumberFormat="1" applyFill="1" applyBorder="1" applyAlignment="1">
      <alignment horizontal="center"/>
    </xf>
    <xf numFmtId="2" fontId="0" fillId="2" borderId="17" xfId="0" applyNumberFormat="1" applyFill="1" applyBorder="1" applyAlignment="1">
      <alignment horizontal="center" wrapText="1"/>
    </xf>
    <xf numFmtId="2" fontId="1" fillId="7" borderId="0" xfId="0" applyNumberFormat="1" applyFont="1" applyFill="1"/>
    <xf numFmtId="2" fontId="2" fillId="7" borderId="3" xfId="0" applyNumberFormat="1" applyFont="1" applyFill="1" applyBorder="1" applyAlignment="1">
      <alignment horizontal="center" vertical="center"/>
    </xf>
    <xf numFmtId="2" fontId="0" fillId="2" borderId="14" xfId="0" applyNumberFormat="1" applyFill="1" applyBorder="1" applyAlignment="1">
      <alignment horizontal="center"/>
    </xf>
    <xf numFmtId="1" fontId="1" fillId="3" borderId="0" xfId="0" applyNumberFormat="1" applyFont="1" applyFill="1"/>
    <xf numFmtId="1" fontId="1" fillId="3" borderId="4" xfId="0" applyNumberFormat="1" applyFont="1" applyFill="1" applyBorder="1"/>
    <xf numFmtId="1" fontId="2" fillId="3" borderId="3" xfId="0" applyNumberFormat="1" applyFont="1" applyFill="1" applyBorder="1" applyAlignment="1">
      <alignment horizontal="center" vertical="center"/>
    </xf>
    <xf numFmtId="1" fontId="2" fillId="3" borderId="5" xfId="0" applyNumberFormat="1" applyFont="1" applyFill="1" applyBorder="1" applyAlignment="1">
      <alignment horizontal="center" vertical="center"/>
    </xf>
    <xf numFmtId="1" fontId="0" fillId="0" borderId="0" xfId="0" applyNumberFormat="1"/>
    <xf numFmtId="1" fontId="1" fillId="7" borderId="0" xfId="0" applyNumberFormat="1" applyFont="1" applyFill="1"/>
    <xf numFmtId="1" fontId="1" fillId="7" borderId="4" xfId="0" applyNumberFormat="1" applyFont="1" applyFill="1" applyBorder="1"/>
    <xf numFmtId="1" fontId="2" fillId="7" borderId="3" xfId="0" applyNumberFormat="1" applyFont="1" applyFill="1" applyBorder="1" applyAlignment="1">
      <alignment horizontal="center" vertical="center"/>
    </xf>
    <xf numFmtId="1" fontId="2" fillId="7" borderId="5" xfId="0" applyNumberFormat="1" applyFont="1" applyFill="1" applyBorder="1" applyAlignment="1">
      <alignment horizontal="center" vertical="center"/>
    </xf>
    <xf numFmtId="1" fontId="2" fillId="3" borderId="4" xfId="0" applyNumberFormat="1" applyFont="1" applyFill="1" applyBorder="1"/>
    <xf numFmtId="0" fontId="5" fillId="0" borderId="0" xfId="0" applyFont="1"/>
    <xf numFmtId="0" fontId="5" fillId="0" borderId="0" xfId="0" applyFont="1" applyAlignment="1">
      <alignment horizontal="center" vertical="center"/>
    </xf>
    <xf numFmtId="0" fontId="5" fillId="10" borderId="0" xfId="0" applyFont="1" applyFill="1"/>
    <xf numFmtId="0" fontId="5" fillId="10" borderId="0" xfId="0" applyFont="1" applyFill="1" applyAlignment="1">
      <alignment horizontal="left" vertical="center"/>
    </xf>
    <xf numFmtId="0" fontId="5" fillId="10" borderId="0" xfId="0" applyFont="1" applyFill="1" applyAlignment="1">
      <alignment horizontal="left"/>
    </xf>
    <xf numFmtId="0" fontId="5" fillId="9" borderId="19" xfId="0" applyFont="1" applyFill="1" applyBorder="1"/>
    <xf numFmtId="0" fontId="5" fillId="10" borderId="20" xfId="0" applyFont="1" applyFill="1" applyBorder="1" applyAlignment="1">
      <alignment horizontal="right" vertical="center"/>
    </xf>
    <xf numFmtId="0" fontId="5" fillId="10" borderId="18" xfId="0" applyFont="1" applyFill="1" applyBorder="1" applyAlignment="1">
      <alignment horizontal="right"/>
    </xf>
    <xf numFmtId="2" fontId="0" fillId="2" borderId="15" xfId="0" applyNumberFormat="1" applyFill="1" applyBorder="1" applyAlignment="1">
      <alignment horizontal="center" wrapText="1"/>
    </xf>
    <xf numFmtId="2" fontId="1" fillId="3" borderId="4" xfId="0" applyNumberFormat="1" applyFont="1" applyFill="1" applyBorder="1"/>
    <xf numFmtId="2" fontId="2" fillId="3" borderId="5" xfId="0" applyNumberFormat="1" applyFont="1" applyFill="1" applyBorder="1" applyAlignment="1">
      <alignment horizontal="center" vertical="center"/>
    </xf>
    <xf numFmtId="2" fontId="0" fillId="2" borderId="16" xfId="0" applyNumberFormat="1" applyFill="1" applyBorder="1" applyAlignment="1">
      <alignment horizontal="center"/>
    </xf>
    <xf numFmtId="2" fontId="1" fillId="7" borderId="4" xfId="0" applyNumberFormat="1" applyFont="1" applyFill="1" applyBorder="1"/>
    <xf numFmtId="2" fontId="2" fillId="7" borderId="5" xfId="0" applyNumberFormat="1" applyFont="1" applyFill="1" applyBorder="1" applyAlignment="1">
      <alignment horizontal="center" vertical="center"/>
    </xf>
    <xf numFmtId="2" fontId="2" fillId="3" borderId="4" xfId="0" applyNumberFormat="1" applyFont="1" applyFill="1" applyBorder="1"/>
    <xf numFmtId="2" fontId="0" fillId="11" borderId="17" xfId="0" applyNumberFormat="1" applyFill="1" applyBorder="1" applyAlignment="1">
      <alignment horizontal="center" wrapText="1"/>
    </xf>
    <xf numFmtId="2" fontId="0" fillId="11" borderId="15" xfId="0" applyNumberFormat="1" applyFill="1" applyBorder="1" applyAlignment="1">
      <alignment horizontal="center"/>
    </xf>
    <xf numFmtId="2" fontId="0" fillId="11" borderId="15" xfId="0" applyNumberFormat="1" applyFill="1" applyBorder="1" applyAlignment="1">
      <alignment horizontal="center" wrapText="1"/>
    </xf>
    <xf numFmtId="2" fontId="0" fillId="11" borderId="16" xfId="0" applyNumberFormat="1" applyFill="1" applyBorder="1" applyAlignment="1">
      <alignment horizontal="center"/>
    </xf>
    <xf numFmtId="2" fontId="0" fillId="11" borderId="14" xfId="0" applyNumberFormat="1" applyFill="1" applyBorder="1" applyAlignment="1">
      <alignment horizontal="center"/>
    </xf>
    <xf numFmtId="2" fontId="0" fillId="12" borderId="17" xfId="0" applyNumberFormat="1" applyFill="1" applyBorder="1" applyAlignment="1">
      <alignment horizontal="center" wrapText="1"/>
    </xf>
    <xf numFmtId="2" fontId="0" fillId="12" borderId="15" xfId="0" applyNumberFormat="1" applyFill="1" applyBorder="1" applyAlignment="1">
      <alignment horizontal="center"/>
    </xf>
    <xf numFmtId="2" fontId="0" fillId="12" borderId="15" xfId="0" applyNumberFormat="1" applyFill="1" applyBorder="1" applyAlignment="1">
      <alignment horizontal="center" wrapText="1"/>
    </xf>
    <xf numFmtId="2" fontId="0" fillId="12" borderId="16" xfId="0" applyNumberFormat="1" applyFill="1" applyBorder="1" applyAlignment="1">
      <alignment horizontal="center"/>
    </xf>
    <xf numFmtId="2" fontId="0" fillId="12" borderId="14" xfId="0" applyNumberFormat="1" applyFill="1" applyBorder="1" applyAlignment="1">
      <alignment horizontal="center"/>
    </xf>
    <xf numFmtId="2" fontId="0" fillId="12" borderId="14" xfId="0" applyNumberFormat="1" applyFill="1" applyBorder="1" applyAlignment="1">
      <alignment horizontal="center" wrapText="1"/>
    </xf>
    <xf numFmtId="0" fontId="5" fillId="10" borderId="0" xfId="0" applyFont="1" applyFill="1" applyBorder="1" applyAlignment="1">
      <alignment horizontal="right"/>
    </xf>
    <xf numFmtId="2" fontId="0" fillId="9" borderId="17" xfId="0" applyNumberFormat="1" applyFill="1" applyBorder="1" applyAlignment="1">
      <alignment horizontal="center" wrapText="1"/>
    </xf>
    <xf numFmtId="2" fontId="0" fillId="9" borderId="15" xfId="0" applyNumberFormat="1" applyFill="1" applyBorder="1" applyAlignment="1">
      <alignment horizontal="center"/>
    </xf>
    <xf numFmtId="2" fontId="0" fillId="9" borderId="15" xfId="0" applyNumberFormat="1" applyFill="1" applyBorder="1" applyAlignment="1">
      <alignment horizontal="center" wrapText="1"/>
    </xf>
    <xf numFmtId="2" fontId="0" fillId="9" borderId="16" xfId="0" applyNumberFormat="1" applyFill="1" applyBorder="1" applyAlignment="1">
      <alignment horizontal="center"/>
    </xf>
    <xf numFmtId="2" fontId="0" fillId="9" borderId="14" xfId="0" applyNumberFormat="1" applyFill="1" applyBorder="1" applyAlignment="1">
      <alignment horizontal="center"/>
    </xf>
    <xf numFmtId="0" fontId="0" fillId="9" borderId="0" xfId="0" applyFill="1"/>
    <xf numFmtId="2" fontId="0" fillId="12" borderId="0" xfId="0" applyNumberFormat="1" applyFill="1" applyBorder="1" applyAlignment="1">
      <alignment horizontal="center"/>
    </xf>
    <xf numFmtId="2" fontId="2" fillId="3" borderId="0" xfId="0" applyNumberFormat="1" applyFont="1" applyFill="1" applyBorder="1" applyAlignment="1">
      <alignment horizontal="center" vertical="center"/>
    </xf>
    <xf numFmtId="0" fontId="0" fillId="13" borderId="0" xfId="0" applyFill="1"/>
    <xf numFmtId="2" fontId="0" fillId="14" borderId="0" xfId="0" applyNumberFormat="1" applyFill="1"/>
    <xf numFmtId="0" fontId="0" fillId="14" borderId="0" xfId="0" applyFill="1"/>
    <xf numFmtId="0" fontId="6" fillId="13" borderId="0" xfId="0" applyFont="1" applyFill="1"/>
    <xf numFmtId="2" fontId="0" fillId="8" borderId="0" xfId="0" applyNumberFormat="1" applyFill="1" applyBorder="1" applyAlignment="1">
      <alignment horizontal="left"/>
    </xf>
    <xf numFmtId="0" fontId="0" fillId="15" borderId="0" xfId="0" applyFill="1"/>
    <xf numFmtId="0" fontId="0" fillId="0" borderId="0" xfId="0" applyBorder="1"/>
    <xf numFmtId="0" fontId="0" fillId="8" borderId="0" xfId="0" applyFill="1"/>
    <xf numFmtId="2" fontId="0" fillId="8" borderId="14" xfId="0" applyNumberFormat="1" applyFill="1" applyBorder="1" applyAlignment="1">
      <alignment horizontal="center"/>
    </xf>
    <xf numFmtId="2" fontId="0" fillId="8" borderId="15" xfId="0" applyNumberFormat="1" applyFill="1" applyBorder="1" applyAlignment="1">
      <alignment horizontal="center"/>
    </xf>
    <xf numFmtId="0" fontId="0" fillId="14" borderId="23" xfId="0" applyFill="1" applyBorder="1"/>
    <xf numFmtId="0" fontId="0" fillId="14" borderId="20" xfId="0" applyFill="1" applyBorder="1"/>
    <xf numFmtId="0" fontId="0" fillId="14" borderId="22" xfId="0" applyFill="1" applyBorder="1"/>
    <xf numFmtId="0" fontId="0" fillId="0" borderId="22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3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16" borderId="21" xfId="0" applyFill="1" applyBorder="1"/>
    <xf numFmtId="0" fontId="0" fillId="16" borderId="18" xfId="0" applyFill="1" applyBorder="1"/>
    <xf numFmtId="0" fontId="0" fillId="16" borderId="0" xfId="0" applyFill="1" applyBorder="1"/>
    <xf numFmtId="2" fontId="0" fillId="16" borderId="22" xfId="0" applyNumberFormat="1" applyFill="1" applyBorder="1" applyAlignment="1">
      <alignment horizontal="center" wrapText="1"/>
    </xf>
    <xf numFmtId="2" fontId="0" fillId="16" borderId="21" xfId="0" applyNumberFormat="1" applyFill="1" applyBorder="1" applyAlignment="1">
      <alignment horizontal="center" wrapText="1"/>
    </xf>
    <xf numFmtId="0" fontId="0" fillId="13" borderId="25" xfId="0" applyFill="1" applyBorder="1" applyAlignment="1">
      <alignment horizontal="center"/>
    </xf>
    <xf numFmtId="0" fontId="0" fillId="13" borderId="26" xfId="0" applyFill="1" applyBorder="1" applyAlignment="1">
      <alignment horizontal="center"/>
    </xf>
    <xf numFmtId="0" fontId="0" fillId="13" borderId="27" xfId="0" applyFill="1" applyBorder="1" applyAlignment="1">
      <alignment horizontal="center"/>
    </xf>
    <xf numFmtId="2" fontId="0" fillId="17" borderId="21" xfId="0" applyNumberFormat="1" applyFill="1" applyBorder="1" applyAlignment="1">
      <alignment horizontal="center" wrapText="1"/>
    </xf>
    <xf numFmtId="2" fontId="0" fillId="17" borderId="24" xfId="0" applyNumberFormat="1" applyFill="1" applyBorder="1" applyAlignment="1">
      <alignment horizontal="center" wrapText="1"/>
    </xf>
    <xf numFmtId="0" fontId="0" fillId="0" borderId="27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2" fontId="0" fillId="2" borderId="14" xfId="0" applyNumberFormat="1" applyFill="1" applyBorder="1" applyAlignment="1">
      <alignment horizontal="center" wrapText="1"/>
    </xf>
    <xf numFmtId="2" fontId="0" fillId="2" borderId="22" xfId="0" applyNumberFormat="1" applyFill="1" applyBorder="1" applyAlignment="1">
      <alignment horizontal="center" wrapText="1"/>
    </xf>
    <xf numFmtId="0" fontId="0" fillId="2" borderId="0" xfId="0" applyFill="1"/>
    <xf numFmtId="2" fontId="0" fillId="2" borderId="0" xfId="0" applyNumberFormat="1" applyFill="1"/>
    <xf numFmtId="2" fontId="0" fillId="2" borderId="21" xfId="0" applyNumberFormat="1" applyFill="1" applyBorder="1" applyAlignment="1">
      <alignment horizontal="center" wrapText="1"/>
    </xf>
    <xf numFmtId="2" fontId="0" fillId="4" borderId="21" xfId="0" applyNumberFormat="1" applyFill="1" applyBorder="1" applyAlignment="1">
      <alignment horizontal="center" wrapText="1"/>
    </xf>
    <xf numFmtId="0" fontId="0" fillId="4" borderId="0" xfId="0" applyFill="1"/>
    <xf numFmtId="2" fontId="0" fillId="4" borderId="0" xfId="0" applyNumberFormat="1" applyFill="1"/>
    <xf numFmtId="2" fontId="0" fillId="4" borderId="24" xfId="0" applyNumberFormat="1" applyFill="1" applyBorder="1" applyAlignment="1">
      <alignment horizontal="center" wrapText="1"/>
    </xf>
    <xf numFmtId="0" fontId="0" fillId="0" borderId="18" xfId="0" applyBorder="1"/>
    <xf numFmtId="2" fontId="0" fillId="18" borderId="28" xfId="0" applyNumberFormat="1" applyFill="1" applyBorder="1" applyAlignment="1">
      <alignment horizontal="center" wrapText="1"/>
    </xf>
    <xf numFmtId="2" fontId="0" fillId="18" borderId="29" xfId="0" applyNumberFormat="1" applyFill="1" applyBorder="1" applyAlignment="1">
      <alignment horizontal="center" wrapText="1"/>
    </xf>
    <xf numFmtId="2" fontId="0" fillId="8" borderId="29" xfId="0" applyNumberFormat="1" applyFill="1" applyBorder="1" applyAlignment="1">
      <alignment horizontal="center"/>
    </xf>
    <xf numFmtId="2" fontId="0" fillId="8" borderId="29" xfId="0" applyNumberFormat="1" applyFill="1" applyBorder="1" applyAlignment="1">
      <alignment horizontal="center" wrapText="1"/>
    </xf>
    <xf numFmtId="2" fontId="5" fillId="16" borderId="22" xfId="0" applyNumberFormat="1" applyFont="1" applyFill="1" applyBorder="1"/>
    <xf numFmtId="2" fontId="3" fillId="16" borderId="23" xfId="0" applyNumberFormat="1" applyFont="1" applyFill="1" applyBorder="1"/>
    <xf numFmtId="1" fontId="3" fillId="16" borderId="23" xfId="0" applyNumberFormat="1" applyFont="1" applyFill="1" applyBorder="1"/>
    <xf numFmtId="1" fontId="3" fillId="16" borderId="30" xfId="0" applyNumberFormat="1" applyFont="1" applyFill="1" applyBorder="1"/>
    <xf numFmtId="2" fontId="3" fillId="17" borderId="23" xfId="0" applyNumberFormat="1" applyFont="1" applyFill="1" applyBorder="1"/>
    <xf numFmtId="1" fontId="3" fillId="17" borderId="23" xfId="0" applyNumberFormat="1" applyFont="1" applyFill="1" applyBorder="1"/>
    <xf numFmtId="1" fontId="3" fillId="17" borderId="30" xfId="0" applyNumberFormat="1" applyFont="1" applyFill="1" applyBorder="1"/>
    <xf numFmtId="1" fontId="5" fillId="16" borderId="20" xfId="0" applyNumberFormat="1" applyFont="1" applyFill="1" applyBorder="1"/>
    <xf numFmtId="0" fontId="0" fillId="0" borderId="24" xfId="0" applyBorder="1"/>
    <xf numFmtId="0" fontId="0" fillId="0" borderId="25" xfId="0" applyBorder="1"/>
    <xf numFmtId="0" fontId="0" fillId="0" borderId="27" xfId="0" applyBorder="1"/>
    <xf numFmtId="0" fontId="0" fillId="0" borderId="26" xfId="0" applyBorder="1"/>
    <xf numFmtId="0" fontId="0" fillId="0" borderId="29" xfId="0" applyBorder="1"/>
    <xf numFmtId="0" fontId="0" fillId="0" borderId="1" xfId="0" applyBorder="1"/>
    <xf numFmtId="0" fontId="0" fillId="17" borderId="29" xfId="0" applyFill="1" applyBorder="1"/>
    <xf numFmtId="0" fontId="0" fillId="18" borderId="18" xfId="0" applyFill="1" applyBorder="1"/>
    <xf numFmtId="0" fontId="0" fillId="18" borderId="28" xfId="0" applyFill="1" applyBorder="1" applyAlignment="1">
      <alignment horizontal="center"/>
    </xf>
    <xf numFmtId="0" fontId="0" fillId="18" borderId="31" xfId="0" applyFill="1" applyBorder="1" applyAlignment="1">
      <alignment horizontal="center"/>
    </xf>
    <xf numFmtId="0" fontId="0" fillId="18" borderId="2" xfId="0" applyFill="1" applyBorder="1" applyAlignment="1">
      <alignment horizontal="center"/>
    </xf>
    <xf numFmtId="0" fontId="0" fillId="18" borderId="20" xfId="0" applyFill="1" applyBorder="1"/>
    <xf numFmtId="0" fontId="0" fillId="18" borderId="1" xfId="0" applyFill="1" applyBorder="1"/>
    <xf numFmtId="0" fontId="0" fillId="17" borderId="27" xfId="0" applyFont="1" applyFill="1" applyBorder="1" applyAlignment="1">
      <alignment horizontal="center"/>
    </xf>
    <xf numFmtId="0" fontId="0" fillId="17" borderId="26" xfId="0" applyFont="1" applyFill="1" applyBorder="1" applyAlignment="1">
      <alignment horizontal="center"/>
    </xf>
    <xf numFmtId="0" fontId="0" fillId="17" borderId="26" xfId="0" applyFill="1" applyBorder="1"/>
    <xf numFmtId="2" fontId="0" fillId="8" borderId="23" xfId="0" applyNumberFormat="1" applyFill="1" applyBorder="1" applyAlignment="1">
      <alignment horizontal="left" wrapText="1"/>
    </xf>
    <xf numFmtId="2" fontId="0" fillId="8" borderId="20" xfId="0" applyNumberFormat="1" applyFill="1" applyBorder="1" applyAlignment="1">
      <alignment horizontal="left" wrapText="1"/>
    </xf>
    <xf numFmtId="2" fontId="0" fillId="8" borderId="18" xfId="0" applyNumberFormat="1" applyFill="1" applyBorder="1" applyAlignment="1">
      <alignment horizontal="left"/>
    </xf>
    <xf numFmtId="2" fontId="0" fillId="8" borderId="0" xfId="0" applyNumberFormat="1" applyFill="1" applyBorder="1" applyAlignment="1">
      <alignment horizontal="left" wrapText="1"/>
    </xf>
    <xf numFmtId="2" fontId="0" fillId="8" borderId="18" xfId="0" applyNumberFormat="1" applyFill="1" applyBorder="1" applyAlignment="1">
      <alignment horizontal="left" wrapText="1"/>
    </xf>
    <xf numFmtId="1" fontId="0" fillId="8" borderId="0" xfId="0" applyNumberFormat="1" applyFill="1" applyBorder="1" applyAlignment="1">
      <alignment horizontal="left"/>
    </xf>
    <xf numFmtId="1" fontId="0" fillId="8" borderId="18" xfId="0" applyNumberFormat="1" applyFill="1" applyBorder="1" applyAlignment="1">
      <alignment horizontal="left"/>
    </xf>
    <xf numFmtId="1" fontId="0" fillId="8" borderId="19" xfId="0" applyNumberFormat="1" applyFill="1" applyBorder="1" applyAlignment="1">
      <alignment horizontal="left"/>
    </xf>
    <xf numFmtId="1" fontId="0" fillId="8" borderId="1" xfId="0" applyNumberFormat="1" applyFill="1" applyBorder="1" applyAlignment="1">
      <alignment horizontal="left"/>
    </xf>
    <xf numFmtId="2" fontId="0" fillId="8" borderId="23" xfId="0" applyNumberFormat="1" applyFill="1" applyBorder="1" applyAlignment="1">
      <alignment horizontal="left"/>
    </xf>
    <xf numFmtId="2" fontId="0" fillId="8" borderId="20" xfId="0" applyNumberFormat="1" applyFill="1" applyBorder="1" applyAlignment="1">
      <alignment horizontal="left"/>
    </xf>
    <xf numFmtId="2" fontId="5" fillId="16" borderId="21" xfId="0" applyNumberFormat="1" applyFont="1" applyFill="1" applyBorder="1" applyAlignment="1">
      <alignment horizontal="center" vertical="center"/>
    </xf>
    <xf numFmtId="2" fontId="5" fillId="16" borderId="0" xfId="0" applyNumberFormat="1" applyFont="1" applyFill="1" applyBorder="1" applyAlignment="1">
      <alignment horizontal="center" vertical="center"/>
    </xf>
    <xf numFmtId="1" fontId="5" fillId="16" borderId="0" xfId="0" applyNumberFormat="1" applyFont="1" applyFill="1" applyBorder="1" applyAlignment="1">
      <alignment horizontal="center" vertical="center"/>
    </xf>
    <xf numFmtId="1" fontId="5" fillId="16" borderId="4" xfId="0" applyNumberFormat="1" applyFont="1" applyFill="1" applyBorder="1" applyAlignment="1">
      <alignment horizontal="center" vertical="center"/>
    </xf>
    <xf numFmtId="2" fontId="5" fillId="17" borderId="0" xfId="0" applyNumberFormat="1" applyFont="1" applyFill="1" applyBorder="1" applyAlignment="1">
      <alignment horizontal="center" vertical="center"/>
    </xf>
    <xf numFmtId="1" fontId="5" fillId="17" borderId="0" xfId="0" applyNumberFormat="1" applyFont="1" applyFill="1" applyBorder="1" applyAlignment="1">
      <alignment horizontal="center" vertical="center"/>
    </xf>
    <xf numFmtId="1" fontId="5" fillId="17" borderId="4" xfId="0" applyNumberFormat="1" applyFont="1" applyFill="1" applyBorder="1" applyAlignment="1">
      <alignment horizontal="center" vertical="center"/>
    </xf>
    <xf numFmtId="1" fontId="5" fillId="16" borderId="18" xfId="0" applyNumberFormat="1" applyFont="1" applyFill="1" applyBorder="1" applyAlignment="1">
      <alignment horizontal="center" vertical="center"/>
    </xf>
    <xf numFmtId="2" fontId="0" fillId="8" borderId="32" xfId="0" applyNumberFormat="1" applyFill="1" applyBorder="1" applyAlignment="1">
      <alignment horizontal="center"/>
    </xf>
    <xf numFmtId="2" fontId="0" fillId="8" borderId="26" xfId="0" applyNumberFormat="1" applyFill="1" applyBorder="1" applyAlignment="1">
      <alignment horizontal="center"/>
    </xf>
    <xf numFmtId="0" fontId="0" fillId="0" borderId="19" xfId="0" applyBorder="1"/>
    <xf numFmtId="2" fontId="0" fillId="8" borderId="25" xfId="0" applyNumberFormat="1" applyFill="1" applyBorder="1" applyAlignment="1">
      <alignment horizontal="center" wrapText="1"/>
    </xf>
    <xf numFmtId="2" fontId="0" fillId="8" borderId="25" xfId="0" applyNumberFormat="1" applyFill="1" applyBorder="1" applyAlignment="1">
      <alignment horizontal="center"/>
    </xf>
    <xf numFmtId="2" fontId="0" fillId="8" borderId="33" xfId="0" applyNumberFormat="1" applyFill="1" applyBorder="1" applyAlignment="1">
      <alignment horizontal="center"/>
    </xf>
    <xf numFmtId="0" fontId="6" fillId="0" borderId="0" xfId="0" applyFon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val>
            <c:numRef>
              <c:f>(ADDITIONALS!$E$15,ADDITIONALS!$J$15,ADDITIONALS!$O$15,ADDITIONALS!$T$15,ADDITIONALS!$Y$15)</c:f>
              <c:numCache>
                <c:formatCode>0.00</c:formatCode>
                <c:ptCount val="5"/>
                <c:pt idx="0">
                  <c:v>1.0000000000000004</c:v>
                </c:pt>
                <c:pt idx="1">
                  <c:v>0.19999999999999973</c:v>
                </c:pt>
                <c:pt idx="2">
                  <c:v>1.8000000000000003</c:v>
                </c:pt>
                <c:pt idx="3">
                  <c:v>0</c:v>
                </c:pt>
                <c:pt idx="4">
                  <c:v>0.60000000000000053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042-4162-BB2E-326E50B131C3}"/>
            </c:ext>
          </c:extLst>
        </c:ser>
        <c:ser>
          <c:idx val="1"/>
          <c:order val="1"/>
          <c:tx>
            <c:v>Click 3D</c:v>
          </c:tx>
          <c:invertIfNegative val="0"/>
          <c:val>
            <c:numRef>
              <c:f>(ADDITIONALS!$E$18,ADDITIONALS!$J$18,ADDITIONALS!$O$18,ADDITIONALS!$T$18,ADDITIONALS!$Y$18)</c:f>
              <c:numCache>
                <c:formatCode>0.00</c:formatCode>
                <c:ptCount val="5"/>
                <c:pt idx="0">
                  <c:v>3.75</c:v>
                </c:pt>
                <c:pt idx="1">
                  <c:v>1.3333333333333339</c:v>
                </c:pt>
                <c:pt idx="2">
                  <c:v>1.1666666666666661</c:v>
                </c:pt>
                <c:pt idx="3">
                  <c:v>0.83333333333333348</c:v>
                </c:pt>
                <c:pt idx="4">
                  <c:v>1.6666666666666661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042-4162-BB2E-326E50B131C3}"/>
            </c:ext>
          </c:extLst>
        </c:ser>
        <c:ser>
          <c:idx val="2"/>
          <c:order val="2"/>
          <c:tx>
            <c:v>Swipe 2D</c:v>
          </c:tx>
          <c:invertIfNegative val="0"/>
          <c:val>
            <c:numRef>
              <c:f>(ADDITIONALS!$E$21,ADDITIONALS!$J$21,ADDITIONALS!$O$21,ADDITIONALS!$T$21,ADDITIONALS!$Y$21)</c:f>
              <c:numCache>
                <c:formatCode>0.00</c:formatCode>
                <c:ptCount val="5"/>
                <c:pt idx="0">
                  <c:v>2.8888888888888884</c:v>
                </c:pt>
                <c:pt idx="1">
                  <c:v>2.4444444444444446</c:v>
                </c:pt>
                <c:pt idx="2">
                  <c:v>2.333333333333333</c:v>
                </c:pt>
                <c:pt idx="3">
                  <c:v>1.666666666666667</c:v>
                </c:pt>
                <c:pt idx="4">
                  <c:v>2.2222222222222223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042-4162-BB2E-326E50B131C3}"/>
            </c:ext>
          </c:extLst>
        </c:ser>
        <c:ser>
          <c:idx val="3"/>
          <c:order val="3"/>
          <c:tx>
            <c:v>Click 2D</c:v>
          </c:tx>
          <c:invertIfNegative val="0"/>
          <c:val>
            <c:numRef>
              <c:f>(ADDITIONALS!$E$24,ADDITIONALS!$J$24,ADDITIONALS!$O$24,ADDITIONALS!$T$24,ADDITIONALS!$Y$24)</c:f>
              <c:numCache>
                <c:formatCode>0.00</c:formatCode>
                <c:ptCount val="5"/>
                <c:pt idx="0">
                  <c:v>3.375</c:v>
                </c:pt>
                <c:pt idx="1">
                  <c:v>3.875</c:v>
                </c:pt>
                <c:pt idx="2">
                  <c:v>4.25</c:v>
                </c:pt>
                <c:pt idx="3">
                  <c:v>2.5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042-4162-BB2E-326E50B13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1297136"/>
        <c:axId val="721292544"/>
      </c:barChart>
      <c:catAx>
        <c:axId val="721297136"/>
        <c:scaling>
          <c:orientation val="minMax"/>
        </c:scaling>
        <c:delete val="0"/>
        <c:axPos val="b"/>
        <c:majorTickMark val="out"/>
        <c:minorTickMark val="none"/>
        <c:tickLblPos val="nextTo"/>
        <c:crossAx val="721292544"/>
        <c:crosses val="autoZero"/>
        <c:auto val="1"/>
        <c:lblAlgn val="ctr"/>
        <c:lblOffset val="100"/>
        <c:noMultiLvlLbl val="0"/>
      </c:catAx>
      <c:valAx>
        <c:axId val="721292544"/>
        <c:scaling>
          <c:orientation val="minMax"/>
          <c:max val="4.5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21297136"/>
        <c:crosses val="autoZero"/>
        <c:crossBetween val="between"/>
        <c:majorUnit val="1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val>
            <c:numRef>
              <c:f>(ADDITIONALS!$E$16,ADDITIONALS!$J$16,ADDITIONALS!$O$16,ADDITIONALS!$T$16,ADDITIONALS!$Y$16)</c:f>
              <c:numCache>
                <c:formatCode>0.00</c:formatCode>
                <c:ptCount val="5"/>
                <c:pt idx="0">
                  <c:v>0.60000000000000009</c:v>
                </c:pt>
                <c:pt idx="1">
                  <c:v>0.60000000000000009</c:v>
                </c:pt>
                <c:pt idx="2">
                  <c:v>0.60000000000000009</c:v>
                </c:pt>
                <c:pt idx="3">
                  <c:v>0.60000000000000009</c:v>
                </c:pt>
                <c:pt idx="4">
                  <c:v>0.20000000000000018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FF-4754-AD88-73F44BBC3998}"/>
            </c:ext>
          </c:extLst>
        </c:ser>
        <c:ser>
          <c:idx val="1"/>
          <c:order val="1"/>
          <c:tx>
            <c:v>Click 3D</c:v>
          </c:tx>
          <c:invertIfNegative val="0"/>
          <c:val>
            <c:numRef>
              <c:f>(ADDITIONALS!$E$19,ADDITIONALS!$J$19,ADDITIONALS!$O$19,ADDITIONALS!$T$19,ADDITIONALS!$Y$19)</c:f>
              <c:numCache>
                <c:formatCode>0.00</c:formatCode>
                <c:ptCount val="5"/>
                <c:pt idx="0">
                  <c:v>1.8333333333333335</c:v>
                </c:pt>
                <c:pt idx="1">
                  <c:v>0.5</c:v>
                </c:pt>
                <c:pt idx="2">
                  <c:v>0.83333333333333393</c:v>
                </c:pt>
                <c:pt idx="3">
                  <c:v>1</c:v>
                </c:pt>
                <c:pt idx="4">
                  <c:v>1.083333333333333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FF-4754-AD88-73F44BBC3998}"/>
            </c:ext>
          </c:extLst>
        </c:ser>
        <c:ser>
          <c:idx val="2"/>
          <c:order val="2"/>
          <c:tx>
            <c:v>Swipe 2D</c:v>
          </c:tx>
          <c:invertIfNegative val="0"/>
          <c:val>
            <c:numRef>
              <c:f>(ADDITIONALS!$E$22,ADDITIONALS!$J$22,ADDITIONALS!$O$22,ADDITIONALS!$T$22,ADDITIONALS!$Y$22)</c:f>
              <c:numCache>
                <c:formatCode>0.00</c:formatCode>
                <c:ptCount val="5"/>
                <c:pt idx="0">
                  <c:v>0.77777777777777768</c:v>
                </c:pt>
                <c:pt idx="1">
                  <c:v>1.7777777777777777</c:v>
                </c:pt>
                <c:pt idx="2">
                  <c:v>1.8888888888888888</c:v>
                </c:pt>
                <c:pt idx="3">
                  <c:v>0.66666666666666652</c:v>
                </c:pt>
                <c:pt idx="4">
                  <c:v>1.4444444444444442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FF-4754-AD88-73F44BBC3998}"/>
            </c:ext>
          </c:extLst>
        </c:ser>
        <c:ser>
          <c:idx val="3"/>
          <c:order val="3"/>
          <c:tx>
            <c:v>Click 2D</c:v>
          </c:tx>
          <c:invertIfNegative val="0"/>
          <c:val>
            <c:numRef>
              <c:f>(ADDITIONALS!$E$25,ADDITIONALS!$J$25,ADDITIONALS!$O$25,ADDITIONALS!$T$25,ADDITIONALS!$Y$25)</c:f>
              <c:numCache>
                <c:formatCode>0.00</c:formatCode>
                <c:ptCount val="5"/>
                <c:pt idx="0">
                  <c:v>2.125</c:v>
                </c:pt>
                <c:pt idx="1">
                  <c:v>1.125</c:v>
                </c:pt>
                <c:pt idx="2">
                  <c:v>1.5</c:v>
                </c:pt>
                <c:pt idx="3">
                  <c:v>1.625</c:v>
                </c:pt>
                <c:pt idx="4">
                  <c:v>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2FF-4754-AD88-73F44BBC3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1297136"/>
        <c:axId val="721292544"/>
      </c:barChart>
      <c:catAx>
        <c:axId val="721297136"/>
        <c:scaling>
          <c:orientation val="minMax"/>
        </c:scaling>
        <c:delete val="0"/>
        <c:axPos val="b"/>
        <c:majorTickMark val="out"/>
        <c:minorTickMark val="none"/>
        <c:tickLblPos val="nextTo"/>
        <c:crossAx val="721292544"/>
        <c:crosses val="autoZero"/>
        <c:auto val="1"/>
        <c:lblAlgn val="ctr"/>
        <c:lblOffset val="100"/>
        <c:noMultiLvlLbl val="0"/>
      </c:catAx>
      <c:valAx>
        <c:axId val="721292544"/>
        <c:scaling>
          <c:orientation val="minMax"/>
          <c:max val="4.5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21297136"/>
        <c:crosses val="autoZero"/>
        <c:crossBetween val="between"/>
        <c:majorUnit val="1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4273927807158"/>
          <c:y val="2.815856763192601E-2"/>
          <c:w val="0.77745867132284807"/>
          <c:h val="0.90830462265258727"/>
        </c:manualLayout>
      </c:layout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val>
            <c:numRef>
              <c:f>(ADDITIONALS!$Z$15,ADDITIONALS!$Z$16)</c:f>
              <c:numCache>
                <c:formatCode>0.00</c:formatCode>
                <c:ptCount val="2"/>
                <c:pt idx="0">
                  <c:v>3.600000000000001</c:v>
                </c:pt>
                <c:pt idx="1">
                  <c:v>2.6000000000000005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71-4716-87B0-EE36F8028CDA}"/>
            </c:ext>
          </c:extLst>
        </c:ser>
        <c:ser>
          <c:idx val="1"/>
          <c:order val="1"/>
          <c:tx>
            <c:v>Click 3D</c:v>
          </c:tx>
          <c:invertIfNegative val="0"/>
          <c:val>
            <c:numRef>
              <c:f>(ADDITIONALS!$Z$18,ADDITIONALS!$Z$19)</c:f>
              <c:numCache>
                <c:formatCode>0.00</c:formatCode>
                <c:ptCount val="2"/>
                <c:pt idx="0">
                  <c:v>8.75</c:v>
                </c:pt>
                <c:pt idx="1">
                  <c:v>5.2500000000000009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71-4716-87B0-EE36F8028CDA}"/>
            </c:ext>
          </c:extLst>
        </c:ser>
        <c:ser>
          <c:idx val="2"/>
          <c:order val="2"/>
          <c:tx>
            <c:v>Swipe 2D</c:v>
          </c:tx>
          <c:invertIfNegative val="0"/>
          <c:val>
            <c:numRef>
              <c:f>(ADDITIONALS!$Z$21,ADDITIONALS!$Z$22)</c:f>
              <c:numCache>
                <c:formatCode>0.00</c:formatCode>
                <c:ptCount val="2"/>
                <c:pt idx="0">
                  <c:v>11.555555555555554</c:v>
                </c:pt>
                <c:pt idx="1">
                  <c:v>6.5555555555555554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71-4716-87B0-EE36F8028CDA}"/>
            </c:ext>
          </c:extLst>
        </c:ser>
        <c:ser>
          <c:idx val="3"/>
          <c:order val="3"/>
          <c:tx>
            <c:v>Click 2D</c:v>
          </c:tx>
          <c:invertIfNegative val="0"/>
          <c:val>
            <c:numRef>
              <c:f>(ADDITIONALS!$Z$24,ADDITIONALS!$Z$25)</c:f>
              <c:numCache>
                <c:formatCode>0.00</c:formatCode>
                <c:ptCount val="2"/>
                <c:pt idx="0">
                  <c:v>15.75</c:v>
                </c:pt>
                <c:pt idx="1">
                  <c:v>7.625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71-4716-87B0-EE36F8028C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1297136"/>
        <c:axId val="721292544"/>
      </c:barChart>
      <c:catAx>
        <c:axId val="721297136"/>
        <c:scaling>
          <c:orientation val="minMax"/>
        </c:scaling>
        <c:delete val="0"/>
        <c:axPos val="b"/>
        <c:majorTickMark val="out"/>
        <c:minorTickMark val="none"/>
        <c:tickLblPos val="nextTo"/>
        <c:crossAx val="721292544"/>
        <c:crosses val="autoZero"/>
        <c:auto val="1"/>
        <c:lblAlgn val="ctr"/>
        <c:lblOffset val="100"/>
        <c:noMultiLvlLbl val="0"/>
      </c:catAx>
      <c:valAx>
        <c:axId val="721292544"/>
        <c:scaling>
          <c:orientation val="minMax"/>
          <c:min val="0"/>
        </c:scaling>
        <c:delete val="0"/>
        <c:axPos val="l"/>
        <c:numFmt formatCode="0.00" sourceLinked="1"/>
        <c:majorTickMark val="out"/>
        <c:minorTickMark val="none"/>
        <c:tickLblPos val="nextTo"/>
        <c:crossAx val="721297136"/>
        <c:crosses val="autoZero"/>
        <c:crossBetween val="between"/>
        <c:majorUnit val="1"/>
      </c:valAx>
    </c:plotArea>
    <c:legend>
      <c:legendPos val="r"/>
      <c:layout>
        <c:manualLayout>
          <c:xMode val="edge"/>
          <c:yMode val="edge"/>
          <c:x val="0.68326460370374087"/>
          <c:y val="8.6173580528766461E-2"/>
          <c:w val="0.17085506924358049"/>
          <c:h val="0.18344986687776638"/>
        </c:manualLayout>
      </c:layout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relative/mean/ring rotations _ NORM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ADDITIONALS!$D$88:$H$88</c:f>
              <c:numCache>
                <c:formatCode>General</c:formatCode>
                <c:ptCount val="5"/>
                <c:pt idx="0">
                  <c:v>0.4</c:v>
                </c:pt>
                <c:pt idx="1">
                  <c:v>-0.1</c:v>
                </c:pt>
                <c:pt idx="2">
                  <c:v>1.4</c:v>
                </c:pt>
                <c:pt idx="3">
                  <c:v>0.6</c:v>
                </c:pt>
                <c:pt idx="4">
                  <c:v>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8A-4663-8C9E-6513090D3DDD}"/>
            </c:ext>
          </c:extLst>
        </c:ser>
        <c:ser>
          <c:idx val="1"/>
          <c:order val="1"/>
          <c:tx>
            <c:v>Click 3d</c:v>
          </c:tx>
          <c:yVal>
            <c:numRef>
              <c:f>ADDITIONALS!$D$90:$H$90</c:f>
              <c:numCache>
                <c:formatCode>General</c:formatCode>
                <c:ptCount val="5"/>
                <c:pt idx="0">
                  <c:v>0.91666666666666663</c:v>
                </c:pt>
                <c:pt idx="1">
                  <c:v>0.3611111111111111</c:v>
                </c:pt>
                <c:pt idx="2">
                  <c:v>2</c:v>
                </c:pt>
                <c:pt idx="3">
                  <c:v>1.4166666666666667</c:v>
                </c:pt>
                <c:pt idx="4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8A-4663-8C9E-6513090D3DDD}"/>
            </c:ext>
          </c:extLst>
        </c:ser>
        <c:ser>
          <c:idx val="2"/>
          <c:order val="2"/>
          <c:tx>
            <c:v>Swipe 2D</c:v>
          </c:tx>
          <c:yVal>
            <c:numRef>
              <c:f>ADDITIONALS!$D$92:$H$92</c:f>
              <c:numCache>
                <c:formatCode>General</c:formatCode>
                <c:ptCount val="5"/>
                <c:pt idx="0">
                  <c:v>0.44444444444444442</c:v>
                </c:pt>
                <c:pt idx="1">
                  <c:v>0.44444444444444442</c:v>
                </c:pt>
                <c:pt idx="2">
                  <c:v>0.55555555555555558</c:v>
                </c:pt>
                <c:pt idx="3">
                  <c:v>0.88888888888888884</c:v>
                </c:pt>
                <c:pt idx="4">
                  <c:v>0.55555555555555558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8A-4663-8C9E-6513090D3DDD}"/>
            </c:ext>
          </c:extLst>
        </c:ser>
        <c:ser>
          <c:idx val="3"/>
          <c:order val="3"/>
          <c:tx>
            <c:v>Click 2D</c:v>
          </c:tx>
          <c:yVal>
            <c:numRef>
              <c:f>ADDITIONALS!$D$94:$H$94</c:f>
              <c:numCache>
                <c:formatCode>General</c:formatCode>
                <c:ptCount val="5"/>
                <c:pt idx="0">
                  <c:v>2</c:v>
                </c:pt>
                <c:pt idx="1">
                  <c:v>8.3333333333333329E-2</c:v>
                </c:pt>
                <c:pt idx="2">
                  <c:v>2.75</c:v>
                </c:pt>
                <c:pt idx="3">
                  <c:v>1.375</c:v>
                </c:pt>
                <c:pt idx="4">
                  <c:v>1.6875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8A-4663-8C9E-6513090D3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  <c:max val="4"/>
          <c:min val="-0.5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relative/mean/ring rotations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(RESULTS_DELTA!$F$3,RESULTS_DELTA!$K$3,RESULTS_DELTA!$P$3,RESULTS_DELTA!$U$3,RESULTS_DELTA!$Z$3)</c:f>
              <c:numCache>
                <c:formatCode>0.00</c:formatCode>
                <c:ptCount val="5"/>
                <c:pt idx="0">
                  <c:v>0.4</c:v>
                </c:pt>
                <c:pt idx="1">
                  <c:v>-0.2</c:v>
                </c:pt>
                <c:pt idx="2">
                  <c:v>1.4</c:v>
                </c:pt>
                <c:pt idx="3">
                  <c:v>0.6</c:v>
                </c:pt>
                <c:pt idx="4">
                  <c:v>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5D-42D3-B214-C3647A41398F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(RESULTS_DELTA!$F$23,RESULTS_DELTA!$K$23,RESULTS_DELTA!$P$23,RESULTS_DELTA!$U$23,RESULTS_DELTA!$Z$23)</c:f>
              <c:numCache>
                <c:formatCode>0.00</c:formatCode>
                <c:ptCount val="5"/>
                <c:pt idx="0">
                  <c:v>0.91666666666666663</c:v>
                </c:pt>
                <c:pt idx="1">
                  <c:v>1.0833333333333333</c:v>
                </c:pt>
                <c:pt idx="2">
                  <c:v>2</c:v>
                </c:pt>
                <c:pt idx="3">
                  <c:v>1.4166666666666667</c:v>
                </c:pt>
                <c:pt idx="4">
                  <c:v>0.83333333333333337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5D-42D3-B214-C3647A41398F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(RESULTS_DELTA!$F$43,RESULTS_DELTA!$K$43,RESULTS_DELTA!$P$43,RESULTS_DELTA!$U$43,RESULTS_DELTA!$Z$43)</c:f>
              <c:numCache>
                <c:formatCode>0.00</c:formatCode>
                <c:ptCount val="5"/>
                <c:pt idx="0">
                  <c:v>0.44444444444444442</c:v>
                </c:pt>
                <c:pt idx="1">
                  <c:v>0.88888888888888884</c:v>
                </c:pt>
                <c:pt idx="2">
                  <c:v>0.55555555555555558</c:v>
                </c:pt>
                <c:pt idx="3">
                  <c:v>0.88888888888888884</c:v>
                </c:pt>
                <c:pt idx="4">
                  <c:v>0.55555555555555558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5D-42D3-B214-C3647A41398F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(RESULTS_DELTA!$F$63,RESULTS_DELTA!$K$63,RESULTS_DELTA!$P$63,RESULTS_DELTA!$U$63,RESULTS_DELTA!$Z$63)</c:f>
              <c:numCache>
                <c:formatCode>0.00</c:formatCode>
                <c:ptCount val="5"/>
                <c:pt idx="0">
                  <c:v>2</c:v>
                </c:pt>
                <c:pt idx="1">
                  <c:v>0.25</c:v>
                </c:pt>
                <c:pt idx="2">
                  <c:v>2.75</c:v>
                </c:pt>
                <c:pt idx="3">
                  <c:v>1.375</c:v>
                </c:pt>
                <c:pt idx="4">
                  <c:v>3.375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5D-42D3-B214-C3647A413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relative/mean/</a:t>
            </a:r>
            <a:r>
              <a:rPr lang="pl-PL" sz="1800" b="1" i="0" u="none" strike="noStrike" baseline="0">
                <a:effectLst/>
              </a:rPr>
              <a:t>screen touches</a:t>
            </a:r>
            <a:r>
              <a:rPr lang="pl-PL"/>
              <a:t>_ NORM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ADDITIONALS!$Q$88:$U$88</c:f>
              <c:numCache>
                <c:formatCode>General</c:formatCode>
                <c:ptCount val="5"/>
                <c:pt idx="0">
                  <c:v>0.4</c:v>
                </c:pt>
                <c:pt idx="1">
                  <c:v>-0.19999999999999998</c:v>
                </c:pt>
                <c:pt idx="2">
                  <c:v>1.3</c:v>
                </c:pt>
                <c:pt idx="3">
                  <c:v>0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A9-4B92-AA0C-6933B821EFA3}"/>
            </c:ext>
          </c:extLst>
        </c:ser>
        <c:ser>
          <c:idx val="1"/>
          <c:order val="1"/>
          <c:tx>
            <c:v>Click 3d</c:v>
          </c:tx>
          <c:yVal>
            <c:numRef>
              <c:f>ADDITIONALS!$Q$90:$U$90</c:f>
              <c:numCache>
                <c:formatCode>General</c:formatCode>
                <c:ptCount val="5"/>
                <c:pt idx="0">
                  <c:v>0.94444444444444453</c:v>
                </c:pt>
                <c:pt idx="1">
                  <c:v>0.38333333333333336</c:v>
                </c:pt>
                <c:pt idx="2">
                  <c:v>0.77777777777777779</c:v>
                </c:pt>
                <c:pt idx="3">
                  <c:v>0.41666666666666669</c:v>
                </c:pt>
                <c:pt idx="4">
                  <c:v>0.35416666666666669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A9-4B92-AA0C-6933B821EFA3}"/>
            </c:ext>
          </c:extLst>
        </c:ser>
        <c:ser>
          <c:idx val="2"/>
          <c:order val="2"/>
          <c:tx>
            <c:v>Swipe 2D</c:v>
          </c:tx>
          <c:yVal>
            <c:numRef>
              <c:f>ADDITIONALS!$Q$92:$U$92</c:f>
              <c:numCache>
                <c:formatCode>General</c:formatCode>
                <c:ptCount val="5"/>
                <c:pt idx="0">
                  <c:v>1.2777777777777777</c:v>
                </c:pt>
                <c:pt idx="1">
                  <c:v>0.51851851851851849</c:v>
                </c:pt>
                <c:pt idx="2">
                  <c:v>0.5</c:v>
                </c:pt>
                <c:pt idx="3">
                  <c:v>0.94444444444444442</c:v>
                </c:pt>
                <c:pt idx="4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A9-4B92-AA0C-6933B821EFA3}"/>
            </c:ext>
          </c:extLst>
        </c:ser>
        <c:ser>
          <c:idx val="3"/>
          <c:order val="3"/>
          <c:tx>
            <c:v>Click 2D</c:v>
          </c:tx>
          <c:yVal>
            <c:numRef>
              <c:f>ADDITIONALS!$Q$94:$U$94</c:f>
              <c:numCache>
                <c:formatCode>General</c:formatCode>
                <c:ptCount val="5"/>
                <c:pt idx="0">
                  <c:v>1.0833333333333333</c:v>
                </c:pt>
                <c:pt idx="1">
                  <c:v>0.6</c:v>
                </c:pt>
                <c:pt idx="2">
                  <c:v>1.8333333333333333</c:v>
                </c:pt>
                <c:pt idx="3">
                  <c:v>0.75</c:v>
                </c:pt>
                <c:pt idx="4">
                  <c:v>0.96875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A9-4B92-AA0C-6933B821E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  <c:max val="2"/>
          <c:min val="-0.5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relative/mean/screen touches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(RESULTS_DELTA!$G$3,RESULTS_DELTA!$L$3,RESULTS_DELTA!$Q$3,RESULTS_DELTA!$V$3,RESULTS_DELTA!$AA$3)</c:f>
              <c:numCache>
                <c:formatCode>0.00</c:formatCode>
                <c:ptCount val="5"/>
                <c:pt idx="0">
                  <c:v>0.8</c:v>
                </c:pt>
                <c:pt idx="1">
                  <c:v>-0.6</c:v>
                </c:pt>
                <c:pt idx="2">
                  <c:v>2.6</c:v>
                </c:pt>
                <c:pt idx="3">
                  <c:v>0</c:v>
                </c:pt>
                <c:pt idx="4">
                  <c:v>2.2000000000000002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0E-4923-B871-A6D79C8C94F2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(RESULTS_DELTA!$G$23,RESULTS_DELTA!$L$23,RESULTS_DELTA!$Q$23,RESULTS_DELTA!$V$23,RESULTS_DELTA!$AA$23)</c:f>
              <c:numCache>
                <c:formatCode>0.00</c:formatCode>
                <c:ptCount val="5"/>
                <c:pt idx="0">
                  <c:v>2.8333333333333335</c:v>
                </c:pt>
                <c:pt idx="1">
                  <c:v>1.9166666666666667</c:v>
                </c:pt>
                <c:pt idx="2">
                  <c:v>2.3333333333333335</c:v>
                </c:pt>
                <c:pt idx="3">
                  <c:v>1.25</c:v>
                </c:pt>
                <c:pt idx="4">
                  <c:v>1.4166666666666667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0E-4923-B871-A6D79C8C94F2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(RESULTS_DELTA!$G$43,RESULTS_DELTA!$L$43,RESULTS_DELTA!$Q$43,RESULTS_DELTA!$V$43,RESULTS_DELTA!$AA$43)</c:f>
              <c:numCache>
                <c:formatCode>0.00</c:formatCode>
                <c:ptCount val="5"/>
                <c:pt idx="0">
                  <c:v>2.5555555555555554</c:v>
                </c:pt>
                <c:pt idx="1">
                  <c:v>1.5555555555555556</c:v>
                </c:pt>
                <c:pt idx="2">
                  <c:v>1</c:v>
                </c:pt>
                <c:pt idx="3">
                  <c:v>1.8888888888888888</c:v>
                </c:pt>
                <c:pt idx="4">
                  <c:v>1.3333333333333333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0E-4923-B871-A6D79C8C94F2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(RESULTS_DELTA!$G$63,RESULTS_DELTA!$L$63,RESULTS_DELTA!$Q$63,RESULTS_DELTA!$V$63,RESULTS_DELTA!$AA$63)</c:f>
              <c:numCache>
                <c:formatCode>0.00</c:formatCode>
                <c:ptCount val="5"/>
                <c:pt idx="0">
                  <c:v>3.25</c:v>
                </c:pt>
                <c:pt idx="1">
                  <c:v>3</c:v>
                </c:pt>
                <c:pt idx="2">
                  <c:v>5.5</c:v>
                </c:pt>
                <c:pt idx="3">
                  <c:v>2.25</c:v>
                </c:pt>
                <c:pt idx="4">
                  <c:v>3.875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0E-4923-B871-A6D79C8C9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6376"/>
        <c:axId val="637567360"/>
      </c:scatterChart>
      <c:valAx>
        <c:axId val="63756637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67360"/>
        <c:crossesAt val="-1"/>
        <c:crossBetween val="midCat"/>
        <c:majorUnit val="1"/>
      </c:valAx>
      <c:valAx>
        <c:axId val="637567360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6637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t_think</a:t>
            </a:r>
            <a:r>
              <a:rPr lang="pl-PL" baseline="0"/>
              <a:t> / t_abs _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(ADDITIONALS!$E$145,ADDITIONALS!$J$145,ADDITIONALS!$O$145,ADDITIONALS!$T$145,ADDITIONALS!$Y$145)</c:f>
              <c:numCache>
                <c:formatCode>0.00</c:formatCode>
                <c:ptCount val="5"/>
                <c:pt idx="0">
                  <c:v>0.86869070208728671</c:v>
                </c:pt>
                <c:pt idx="1">
                  <c:v>0.58540893835011487</c:v>
                </c:pt>
                <c:pt idx="2">
                  <c:v>0.59011914699855794</c:v>
                </c:pt>
                <c:pt idx="3">
                  <c:v>0.62445228171422473</c:v>
                </c:pt>
                <c:pt idx="4">
                  <c:v>0.56080740117746009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7E-4E35-856A-377BA39F8ADB}"/>
            </c:ext>
          </c:extLst>
        </c:ser>
        <c:ser>
          <c:idx val="1"/>
          <c:order val="1"/>
          <c:tx>
            <c:v>Click 3D</c:v>
          </c:tx>
          <c:yVal>
            <c:numRef>
              <c:f>(ADDITIONALS!$E$147,ADDITIONALS!$J$147,ADDITIONALS!$O$147,ADDITIONALS!$T$147,ADDITIONALS!$Y$147)</c:f>
              <c:numCache>
                <c:formatCode>0.00</c:formatCode>
                <c:ptCount val="5"/>
                <c:pt idx="0">
                  <c:v>0.88068466661892153</c:v>
                </c:pt>
                <c:pt idx="1">
                  <c:v>0.71030432727001258</c:v>
                </c:pt>
                <c:pt idx="2">
                  <c:v>0.6908639249240961</c:v>
                </c:pt>
                <c:pt idx="3">
                  <c:v>0.74196867118014043</c:v>
                </c:pt>
                <c:pt idx="4">
                  <c:v>0.58420922637833106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7E-4E35-856A-377BA39F8ADB}"/>
            </c:ext>
          </c:extLst>
        </c:ser>
        <c:ser>
          <c:idx val="2"/>
          <c:order val="2"/>
          <c:tx>
            <c:v>Swipe 2D</c:v>
          </c:tx>
          <c:yVal>
            <c:numRef>
              <c:f>(ADDITIONALS!$E$149,ADDITIONALS!$J$149,ADDITIONALS!$O$149,ADDITIONALS!$T$149,ADDITIONALS!$Y$149)</c:f>
              <c:numCache>
                <c:formatCode>0.00</c:formatCode>
                <c:ptCount val="5"/>
                <c:pt idx="0">
                  <c:v>0.87272913361649873</c:v>
                </c:pt>
                <c:pt idx="1">
                  <c:v>0.60462200677002798</c:v>
                </c:pt>
                <c:pt idx="2">
                  <c:v>0.62985575822330764</c:v>
                </c:pt>
                <c:pt idx="3">
                  <c:v>0.74183899747305448</c:v>
                </c:pt>
                <c:pt idx="4">
                  <c:v>0.62778609814113295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07E-4E35-856A-377BA39F8ADB}"/>
            </c:ext>
          </c:extLst>
        </c:ser>
        <c:ser>
          <c:idx val="3"/>
          <c:order val="3"/>
          <c:tx>
            <c:v>Click 2D</c:v>
          </c:tx>
          <c:yVal>
            <c:numRef>
              <c:f>(ADDITIONALS!$E$151,ADDITIONALS!$J$151,ADDITIONALS!$O$151,ADDITIONALS!$T$151,ADDITIONALS!$Y$151)</c:f>
              <c:numCache>
                <c:formatCode>0.00</c:formatCode>
                <c:ptCount val="5"/>
                <c:pt idx="0">
                  <c:v>0.84158001673240135</c:v>
                </c:pt>
                <c:pt idx="1">
                  <c:v>0.58556599110232332</c:v>
                </c:pt>
                <c:pt idx="2">
                  <c:v>0.62138309019102123</c:v>
                </c:pt>
                <c:pt idx="3">
                  <c:v>0.69847013267314173</c:v>
                </c:pt>
                <c:pt idx="4">
                  <c:v>0.57808653565318979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07E-4E35-856A-377BA39F8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6376"/>
        <c:axId val="637567360"/>
      </c:scatterChart>
      <c:valAx>
        <c:axId val="63756637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67360"/>
        <c:crossesAt val="-1"/>
        <c:crossBetween val="midCat"/>
        <c:majorUnit val="1"/>
      </c:valAx>
      <c:valAx>
        <c:axId val="637567360"/>
        <c:scaling>
          <c:orientation val="minMax"/>
          <c:min val="0.4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6637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t_think</a:t>
            </a:r>
            <a:r>
              <a:rPr lang="pl-PL" baseline="0"/>
              <a:t> / t_abs _ 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(ADDITIONALS!$E$146,ADDITIONALS!$J$146,ADDITIONALS!$O$146,ADDITIONALS!$T$146,ADDITIONALS!$Y$146)</c:f>
              <c:numCache>
                <c:formatCode>0.00</c:formatCode>
                <c:ptCount val="5"/>
                <c:pt idx="0">
                  <c:v>0.73384615384615381</c:v>
                </c:pt>
                <c:pt idx="1">
                  <c:v>0.60565613849610156</c:v>
                </c:pt>
                <c:pt idx="2">
                  <c:v>0.43510823843233815</c:v>
                </c:pt>
                <c:pt idx="3">
                  <c:v>0.71312853431147771</c:v>
                </c:pt>
                <c:pt idx="4">
                  <c:v>0.61659217268069344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D6-4715-9EBD-2146AA8D9A67}"/>
            </c:ext>
          </c:extLst>
        </c:ser>
        <c:ser>
          <c:idx val="1"/>
          <c:order val="1"/>
          <c:tx>
            <c:v>Click 3D</c:v>
          </c:tx>
          <c:yVal>
            <c:numRef>
              <c:f>(ADDITIONALS!$E$148,ADDITIONALS!$J$148,ADDITIONALS!$O$148,ADDITIONALS!$T$148,ADDITIONALS!$Y$148)</c:f>
              <c:numCache>
                <c:formatCode>0.00</c:formatCode>
                <c:ptCount val="5"/>
                <c:pt idx="0">
                  <c:v>0.82999721215500422</c:v>
                </c:pt>
                <c:pt idx="1">
                  <c:v>0.71464937751083901</c:v>
                </c:pt>
                <c:pt idx="2">
                  <c:v>0.58689556331006965</c:v>
                </c:pt>
                <c:pt idx="3">
                  <c:v>0.76459676297361245</c:v>
                </c:pt>
                <c:pt idx="4">
                  <c:v>0.69834724161444306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D6-4715-9EBD-2146AA8D9A67}"/>
            </c:ext>
          </c:extLst>
        </c:ser>
        <c:ser>
          <c:idx val="2"/>
          <c:order val="2"/>
          <c:tx>
            <c:v>Swipe 2D</c:v>
          </c:tx>
          <c:yVal>
            <c:numRef>
              <c:f>(ADDITIONALS!$E$150,ADDITIONALS!$J$150,ADDITIONALS!$O$150,ADDITIONALS!$T$150,ADDITIONALS!$Y$150)</c:f>
              <c:numCache>
                <c:formatCode>0.00</c:formatCode>
                <c:ptCount val="5"/>
                <c:pt idx="0">
                  <c:v>0.78743099787685755</c:v>
                </c:pt>
                <c:pt idx="1">
                  <c:v>0.67117503059975536</c:v>
                </c:pt>
                <c:pt idx="2">
                  <c:v>0.51799260844193717</c:v>
                </c:pt>
                <c:pt idx="3">
                  <c:v>0.7446181735780647</c:v>
                </c:pt>
                <c:pt idx="4">
                  <c:v>0.7526406384476958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D6-4715-9EBD-2146AA8D9A67}"/>
            </c:ext>
          </c:extLst>
        </c:ser>
        <c:ser>
          <c:idx val="3"/>
          <c:order val="3"/>
          <c:tx>
            <c:v>Click 2D</c:v>
          </c:tx>
          <c:yVal>
            <c:numRef>
              <c:f>(ADDITIONALS!$E$152,ADDITIONALS!$J$152,ADDITIONALS!$O$152,ADDITIONALS!$T$152,ADDITIONALS!$Y$152)</c:f>
              <c:numCache>
                <c:formatCode>0.00</c:formatCode>
                <c:ptCount val="5"/>
                <c:pt idx="0">
                  <c:v>0.76879816704853166</c:v>
                </c:pt>
                <c:pt idx="1">
                  <c:v>0.56035520770620095</c:v>
                </c:pt>
                <c:pt idx="2">
                  <c:v>0.45349555335968389</c:v>
                </c:pt>
                <c:pt idx="3">
                  <c:v>0.76940150007653452</c:v>
                </c:pt>
                <c:pt idx="4">
                  <c:v>0.68117667063424592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4D6-4715-9EBD-2146AA8D9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6376"/>
        <c:axId val="637567360"/>
      </c:scatterChart>
      <c:valAx>
        <c:axId val="63756637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67360"/>
        <c:crossesAt val="-1"/>
        <c:crossBetween val="midCat"/>
        <c:majorUnit val="1"/>
      </c:valAx>
      <c:valAx>
        <c:axId val="637567360"/>
        <c:scaling>
          <c:orientation val="minMax"/>
          <c:max val="1"/>
          <c:min val="0.4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6637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Swipe 3D</a:t>
            </a:r>
            <a:endParaRPr lang="pl-PL" baseline="0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First</c:v>
          </c:tx>
          <c:yVal>
            <c:numRef>
              <c:f>(ADDITIONALS!$E$145,ADDITIONALS!$J$145,ADDITIONALS!$O$145,ADDITIONALS!$T$145,ADDITIONALS!$Y$145)</c:f>
              <c:numCache>
                <c:formatCode>0.00</c:formatCode>
                <c:ptCount val="5"/>
                <c:pt idx="0">
                  <c:v>0.86869070208728671</c:v>
                </c:pt>
                <c:pt idx="1">
                  <c:v>0.58540893835011487</c:v>
                </c:pt>
                <c:pt idx="2">
                  <c:v>0.59011914699855794</c:v>
                </c:pt>
                <c:pt idx="3">
                  <c:v>0.62445228171422473</c:v>
                </c:pt>
                <c:pt idx="4">
                  <c:v>0.56080740117746009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55-4F2F-8BF1-65A5A91FB7CA}"/>
            </c:ext>
          </c:extLst>
        </c:ser>
        <c:ser>
          <c:idx val="3"/>
          <c:order val="1"/>
          <c:tx>
            <c:v>Second</c:v>
          </c:tx>
          <c:yVal>
            <c:numRef>
              <c:f>(ADDITIONALS!$E$146,ADDITIONALS!$J$146,ADDITIONALS!$O$146,ADDITIONALS!$T$146,ADDITIONALS!$Y$146)</c:f>
              <c:numCache>
                <c:formatCode>0.00</c:formatCode>
                <c:ptCount val="5"/>
                <c:pt idx="0">
                  <c:v>0.73384615384615381</c:v>
                </c:pt>
                <c:pt idx="1">
                  <c:v>0.60565613849610156</c:v>
                </c:pt>
                <c:pt idx="2">
                  <c:v>0.43510823843233815</c:v>
                </c:pt>
                <c:pt idx="3">
                  <c:v>0.71312853431147771</c:v>
                </c:pt>
                <c:pt idx="4">
                  <c:v>0.61659217268069344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55-4F2F-8BF1-65A5A91FB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6376"/>
        <c:axId val="637567360"/>
      </c:scatterChart>
      <c:valAx>
        <c:axId val="63756637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67360"/>
        <c:crossesAt val="-1"/>
        <c:crossBetween val="midCat"/>
        <c:majorUnit val="1"/>
      </c:valAx>
      <c:valAx>
        <c:axId val="637567360"/>
        <c:scaling>
          <c:orientation val="minMax"/>
          <c:min val="0.4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6637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Click 3D</a:t>
            </a:r>
            <a:endParaRPr lang="pl-PL" baseline="0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First</c:v>
          </c:tx>
          <c:yVal>
            <c:numRef>
              <c:f>(ADDITIONALS!$E$147,ADDITIONALS!$J$147,ADDITIONALS!$O$147,ADDITIONALS!$T$147,ADDITIONALS!$Y$147)</c:f>
              <c:numCache>
                <c:formatCode>0.00</c:formatCode>
                <c:ptCount val="5"/>
                <c:pt idx="0">
                  <c:v>0.88068466661892153</c:v>
                </c:pt>
                <c:pt idx="1">
                  <c:v>0.71030432727001258</c:v>
                </c:pt>
                <c:pt idx="2">
                  <c:v>0.6908639249240961</c:v>
                </c:pt>
                <c:pt idx="3">
                  <c:v>0.74196867118014043</c:v>
                </c:pt>
                <c:pt idx="4">
                  <c:v>0.58420922637833106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1B-4A6E-BA86-5520272C7EEB}"/>
            </c:ext>
          </c:extLst>
        </c:ser>
        <c:ser>
          <c:idx val="3"/>
          <c:order val="1"/>
          <c:tx>
            <c:v>Second</c:v>
          </c:tx>
          <c:yVal>
            <c:numRef>
              <c:f>(ADDITIONALS!$E$148,ADDITIONALS!$J$148,ADDITIONALS!$O$148,ADDITIONALS!$T$148,ADDITIONALS!$Y$148)</c:f>
              <c:numCache>
                <c:formatCode>0.00</c:formatCode>
                <c:ptCount val="5"/>
                <c:pt idx="0">
                  <c:v>0.82999721215500422</c:v>
                </c:pt>
                <c:pt idx="1">
                  <c:v>0.71464937751083901</c:v>
                </c:pt>
                <c:pt idx="2">
                  <c:v>0.58689556331006965</c:v>
                </c:pt>
                <c:pt idx="3">
                  <c:v>0.76459676297361245</c:v>
                </c:pt>
                <c:pt idx="4">
                  <c:v>0.69834724161444306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1B-4A6E-BA86-5520272C7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6376"/>
        <c:axId val="637567360"/>
      </c:scatterChart>
      <c:valAx>
        <c:axId val="63756637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67360"/>
        <c:crossesAt val="-1"/>
        <c:crossBetween val="midCat"/>
        <c:majorUnit val="1"/>
      </c:valAx>
      <c:valAx>
        <c:axId val="637567360"/>
        <c:scaling>
          <c:orientation val="minMax"/>
          <c:max val="0.9"/>
          <c:min val="0.4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6637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Swipe</a:t>
            </a:r>
            <a:r>
              <a:rPr lang="pl-PL" baseline="0"/>
              <a:t> 2</a:t>
            </a:r>
            <a:r>
              <a:rPr lang="pl-PL"/>
              <a:t>D</a:t>
            </a:r>
            <a:endParaRPr lang="pl-PL" baseline="0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First</c:v>
          </c:tx>
          <c:yVal>
            <c:numRef>
              <c:f>(ADDITIONALS!$E$149,ADDITIONALS!$J$149,ADDITIONALS!$O$149,ADDITIONALS!$T$149,ADDITIONALS!$Y$149)</c:f>
              <c:numCache>
                <c:formatCode>0.00</c:formatCode>
                <c:ptCount val="5"/>
                <c:pt idx="0">
                  <c:v>0.87272913361649873</c:v>
                </c:pt>
                <c:pt idx="1">
                  <c:v>0.60462200677002798</c:v>
                </c:pt>
                <c:pt idx="2">
                  <c:v>0.62985575822330764</c:v>
                </c:pt>
                <c:pt idx="3">
                  <c:v>0.74183899747305448</c:v>
                </c:pt>
                <c:pt idx="4">
                  <c:v>0.62778609814113295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F6-48E9-99CC-0FC121DEEA29}"/>
            </c:ext>
          </c:extLst>
        </c:ser>
        <c:ser>
          <c:idx val="3"/>
          <c:order val="1"/>
          <c:tx>
            <c:v>Second</c:v>
          </c:tx>
          <c:yVal>
            <c:numRef>
              <c:f>(ADDITIONALS!$E$150,ADDITIONALS!$J$150,ADDITIONALS!$O$150,ADDITIONALS!$T$150,ADDITIONALS!$Y$150)</c:f>
              <c:numCache>
                <c:formatCode>0.00</c:formatCode>
                <c:ptCount val="5"/>
                <c:pt idx="0">
                  <c:v>0.78743099787685755</c:v>
                </c:pt>
                <c:pt idx="1">
                  <c:v>0.67117503059975536</c:v>
                </c:pt>
                <c:pt idx="2">
                  <c:v>0.51799260844193717</c:v>
                </c:pt>
                <c:pt idx="3">
                  <c:v>0.7446181735780647</c:v>
                </c:pt>
                <c:pt idx="4">
                  <c:v>0.7526406384476958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F6-48E9-99CC-0FC121DEEA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6376"/>
        <c:axId val="637567360"/>
      </c:scatterChart>
      <c:valAx>
        <c:axId val="63756637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67360"/>
        <c:crossesAt val="-1"/>
        <c:crossBetween val="midCat"/>
        <c:majorUnit val="1"/>
      </c:valAx>
      <c:valAx>
        <c:axId val="637567360"/>
        <c:scaling>
          <c:orientation val="minMax"/>
          <c:min val="0.4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6637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 sz="1800" b="1" i="0" baseline="0">
                <a:effectLst/>
              </a:rPr>
              <a:t>Click 2D</a:t>
            </a:r>
            <a:endParaRPr lang="pl-PL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First</c:v>
          </c:tx>
          <c:yVal>
            <c:numRef>
              <c:f>(ADDITIONALS!$E$151,ADDITIONALS!$J$151,ADDITIONALS!$O$151,ADDITIONALS!$T$151,ADDITIONALS!$Y$151)</c:f>
              <c:numCache>
                <c:formatCode>0.00</c:formatCode>
                <c:ptCount val="5"/>
                <c:pt idx="0">
                  <c:v>0.84158001673240135</c:v>
                </c:pt>
                <c:pt idx="1">
                  <c:v>0.58556599110232332</c:v>
                </c:pt>
                <c:pt idx="2">
                  <c:v>0.62138309019102123</c:v>
                </c:pt>
                <c:pt idx="3">
                  <c:v>0.69847013267314173</c:v>
                </c:pt>
                <c:pt idx="4">
                  <c:v>0.57808653565318979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B5-4736-B7F7-085F541BF20F}"/>
            </c:ext>
          </c:extLst>
        </c:ser>
        <c:ser>
          <c:idx val="3"/>
          <c:order val="1"/>
          <c:tx>
            <c:v>Second</c:v>
          </c:tx>
          <c:yVal>
            <c:numRef>
              <c:f>(ADDITIONALS!$E$152,ADDITIONALS!$J$152,ADDITIONALS!$O$152,ADDITIONALS!$T$152,ADDITIONALS!$Y$152)</c:f>
              <c:numCache>
                <c:formatCode>0.00</c:formatCode>
                <c:ptCount val="5"/>
                <c:pt idx="0">
                  <c:v>0.76879816704853166</c:v>
                </c:pt>
                <c:pt idx="1">
                  <c:v>0.56035520770620095</c:v>
                </c:pt>
                <c:pt idx="2">
                  <c:v>0.45349555335968389</c:v>
                </c:pt>
                <c:pt idx="3">
                  <c:v>0.76940150007653452</c:v>
                </c:pt>
                <c:pt idx="4">
                  <c:v>0.68117667063424592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B5-4736-B7F7-085F541BF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6376"/>
        <c:axId val="637567360"/>
      </c:scatterChart>
      <c:valAx>
        <c:axId val="63756637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67360"/>
        <c:crossesAt val="-1"/>
        <c:crossBetween val="midCat"/>
        <c:majorUnit val="1"/>
      </c:valAx>
      <c:valAx>
        <c:axId val="637567360"/>
        <c:scaling>
          <c:orientation val="minMax"/>
          <c:min val="0.4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6637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Click tAbs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Click 3D</c:v>
          </c:tx>
          <c:spPr>
            <a:effectLst>
              <a:softEdge rad="0"/>
            </a:effectLst>
          </c:spPr>
          <c:marker>
            <c:spPr>
              <a:effectLst>
                <a:softEdge rad="0"/>
              </a:effectLst>
            </c:spPr>
          </c:marker>
          <c:errBars>
            <c:errDir val="y"/>
            <c:errBarType val="both"/>
            <c:errValType val="cust"/>
            <c:noEndCap val="0"/>
            <c:plus>
              <c:numRef>
                <c:f>(ADDITIONALS!$AG$5,ADDITIONALS!$AL$5,ADDITIONALS!$AQ$5,ADDITIONALS!$AV$5,ADDITIONALS!$BA$5)</c:f>
                <c:numCache>
                  <c:formatCode>General</c:formatCode>
                  <c:ptCount val="5"/>
                  <c:pt idx="0">
                    <c:v>0.90873886179282881</c:v>
                  </c:pt>
                  <c:pt idx="1">
                    <c:v>2.1585600766336763</c:v>
                  </c:pt>
                  <c:pt idx="2">
                    <c:v>1.6122460902876312</c:v>
                  </c:pt>
                  <c:pt idx="3">
                    <c:v>0.96242802971508112</c:v>
                  </c:pt>
                  <c:pt idx="4">
                    <c:v>0.99918741069200867</c:v>
                  </c:pt>
                </c:numCache>
              </c:numRef>
            </c:plus>
            <c:minus>
              <c:numRef>
                <c:f>(ADDITIONALS!$AG$5,ADDITIONALS!$AL$5,ADDITIONALS!$AQ$5,ADDITIONALS!$AV$5,ADDITIONALS!$BA$5)</c:f>
                <c:numCache>
                  <c:formatCode>General</c:formatCode>
                  <c:ptCount val="5"/>
                  <c:pt idx="0">
                    <c:v>0.90873886179282881</c:v>
                  </c:pt>
                  <c:pt idx="1">
                    <c:v>2.1585600766336763</c:v>
                  </c:pt>
                  <c:pt idx="2">
                    <c:v>1.6122460902876312</c:v>
                  </c:pt>
                  <c:pt idx="3">
                    <c:v>0.96242802971508112</c:v>
                  </c:pt>
                  <c:pt idx="4">
                    <c:v>0.99918741069200867</c:v>
                  </c:pt>
                </c:numCache>
              </c:numRef>
            </c:minus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yVal>
            <c:numRef>
              <c:f>(ADDITIONALS!$A$5,ADDITIONALS!$F$5,ADDITIONALS!$K$5,ADDITIONALS!$P$5,ADDITIONALS!$U$5)</c:f>
              <c:numCache>
                <c:formatCode>0.00</c:formatCode>
                <c:ptCount val="5"/>
                <c:pt idx="0">
                  <c:v>23.271666666666665</c:v>
                </c:pt>
                <c:pt idx="1">
                  <c:v>33.489166666666669</c:v>
                </c:pt>
                <c:pt idx="2">
                  <c:v>36.229999999999997</c:v>
                </c:pt>
                <c:pt idx="3">
                  <c:v>25.110000000000003</c:v>
                </c:pt>
                <c:pt idx="4">
                  <c:v>30.365833333333331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409-4DB8-9DCA-A39B81FF98FE}"/>
            </c:ext>
          </c:extLst>
        </c:ser>
        <c:ser>
          <c:idx val="3"/>
          <c:order val="1"/>
          <c:tx>
            <c:v>Click 2D</c:v>
          </c:tx>
          <c:errBars>
            <c:errDir val="y"/>
            <c:errBarType val="both"/>
            <c:errValType val="cust"/>
            <c:noEndCap val="0"/>
            <c:plus>
              <c:numRef>
                <c:f>(ADDITIONALS!$AG$11,ADDITIONALS!$AL$11,ADDITIONALS!$AQ$11,ADDITIONALS!$AV$11,ADDITIONALS!$BA$11)</c:f>
                <c:numCache>
                  <c:formatCode>General</c:formatCode>
                  <c:ptCount val="5"/>
                  <c:pt idx="0">
                    <c:v>1.0826704460997412</c:v>
                  </c:pt>
                  <c:pt idx="1">
                    <c:v>1.2246631603992932</c:v>
                  </c:pt>
                  <c:pt idx="2">
                    <c:v>0.69136006233940295</c:v>
                  </c:pt>
                  <c:pt idx="3">
                    <c:v>0.94483911003565946</c:v>
                  </c:pt>
                  <c:pt idx="4">
                    <c:v>1.2575124907208524</c:v>
                  </c:pt>
                </c:numCache>
              </c:numRef>
            </c:plus>
            <c:minus>
              <c:numRef>
                <c:f>(ADDITIONALS!$AG$11,ADDITIONALS!$AL$11,ADDITIONALS!$AQ$11,ADDITIONALS!$AV$11,ADDITIONALS!$BA$11)</c:f>
                <c:numCache>
                  <c:formatCode>General</c:formatCode>
                  <c:ptCount val="5"/>
                  <c:pt idx="0">
                    <c:v>1.0826704460997412</c:v>
                  </c:pt>
                  <c:pt idx="1">
                    <c:v>1.2246631603992932</c:v>
                  </c:pt>
                  <c:pt idx="2">
                    <c:v>0.69136006233940295</c:v>
                  </c:pt>
                  <c:pt idx="3">
                    <c:v>0.94483911003565946</c:v>
                  </c:pt>
                  <c:pt idx="4">
                    <c:v>1.2575124907208524</c:v>
                  </c:pt>
                </c:numCache>
              </c:numRef>
            </c:minus>
            <c:spPr>
              <a:ln>
                <a:solidFill>
                  <a:schemeClr val="accent4">
                    <a:lumMod val="75000"/>
                  </a:schemeClr>
                </a:solidFill>
              </a:ln>
            </c:spPr>
          </c:errBars>
          <c:yVal>
            <c:numRef>
              <c:f>(ADDITIONALS!$A$11,ADDITIONALS!$F$11,ADDITIONALS!$K$11,ADDITIONALS!$P$11,ADDITIONALS!$U$11)</c:f>
              <c:numCache>
                <c:formatCode>0.00</c:formatCode>
                <c:ptCount val="5"/>
                <c:pt idx="0">
                  <c:v>20.917499999999997</c:v>
                </c:pt>
                <c:pt idx="1">
                  <c:v>25.287499999999998</c:v>
                </c:pt>
                <c:pt idx="2">
                  <c:v>31.017499999999998</c:v>
                </c:pt>
                <c:pt idx="3">
                  <c:v>19.691249999999997</c:v>
                </c:pt>
                <c:pt idx="4">
                  <c:v>29.958749999999998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409-4DB8-9DCA-A39B81FF98FE}"/>
            </c:ext>
          </c:extLst>
        </c:ser>
        <c:ser>
          <c:idx val="0"/>
          <c:order val="2"/>
          <c:tx>
            <c:v>Reference</c:v>
          </c:tx>
          <c:spPr>
            <a:ln w="31750"/>
          </c:spPr>
          <c:errBars>
            <c:errDir val="y"/>
            <c:errBarType val="both"/>
            <c:errValType val="fixedVal"/>
            <c:noEndCap val="0"/>
            <c:val val="1"/>
            <c:spPr>
              <a:ln>
                <a:solidFill>
                  <a:schemeClr val="accent1">
                    <a:lumMod val="50000"/>
                  </a:schemeClr>
                </a:solidFill>
              </a:ln>
            </c:spPr>
          </c:errBars>
          <c:yVal>
            <c:numRef>
              <c:f>(ADDITIONALS!$AE$17,ADDITIONALS!$AE$22,ADDITIONALS!$AE$27,ADDITIONALS!$AE$32,ADDITIONALS!$AE$37)</c:f>
              <c:numCache>
                <c:formatCode>0.00</c:formatCode>
                <c:ptCount val="5"/>
                <c:pt idx="0">
                  <c:v>9.65</c:v>
                </c:pt>
                <c:pt idx="1">
                  <c:v>15.4</c:v>
                </c:pt>
                <c:pt idx="2">
                  <c:v>19.239999999999998</c:v>
                </c:pt>
                <c:pt idx="3">
                  <c:v>13.31</c:v>
                </c:pt>
                <c:pt idx="4">
                  <c:v>16.260000000000002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409-4DB8-9DCA-A39B81FF9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  <c:max val="40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Swipe tAbs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Swipe 3D</c:v>
          </c:tx>
          <c:errBars>
            <c:errDir val="y"/>
            <c:errBarType val="both"/>
            <c:errValType val="cust"/>
            <c:noEndCap val="0"/>
            <c:plus>
              <c:numRef>
                <c:f>(ADDITIONALS!$AG$2,ADDITIONALS!$AL$2,ADDITIONALS!$AQ$2,ADDITIONALS!$AV$2,ADDITIONALS!$BA$2)</c:f>
                <c:numCache>
                  <c:formatCode>General</c:formatCode>
                  <c:ptCount val="5"/>
                  <c:pt idx="0">
                    <c:v>0.75092052609849036</c:v>
                  </c:pt>
                  <c:pt idx="1">
                    <c:v>0.9578544512312821</c:v>
                  </c:pt>
                  <c:pt idx="2">
                    <c:v>1.1858769746291333</c:v>
                  </c:pt>
                  <c:pt idx="3">
                    <c:v>0.96262977570376396</c:v>
                  </c:pt>
                  <c:pt idx="4">
                    <c:v>1.165584618027641</c:v>
                  </c:pt>
                </c:numCache>
              </c:numRef>
            </c:plus>
            <c:minus>
              <c:numRef>
                <c:f>(ADDITIONALS!$AG$2,ADDITIONALS!$AL$2,ADDITIONALS!$AQ$2,ADDITIONALS!$AV$2,ADDITIONALS!$BA$2)</c:f>
                <c:numCache>
                  <c:formatCode>General</c:formatCode>
                  <c:ptCount val="5"/>
                  <c:pt idx="0">
                    <c:v>0.75092052609849036</c:v>
                  </c:pt>
                  <c:pt idx="1">
                    <c:v>0.9578544512312821</c:v>
                  </c:pt>
                  <c:pt idx="2">
                    <c:v>1.1858769746291333</c:v>
                  </c:pt>
                  <c:pt idx="3">
                    <c:v>0.96262977570376396</c:v>
                  </c:pt>
                  <c:pt idx="4">
                    <c:v>1.165584618027641</c:v>
                  </c:pt>
                </c:numCache>
              </c:numRef>
            </c:minus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yVal>
            <c:numRef>
              <c:f>(ADDITIONALS!$A$2,ADDITIONALS!$F$2,ADDITIONALS!$K$2,ADDITIONALS!$P$2,ADDITIONALS!$U$2)</c:f>
              <c:numCache>
                <c:formatCode>0.00</c:formatCode>
                <c:ptCount val="5"/>
                <c:pt idx="0">
                  <c:v>21.080000000000002</c:v>
                </c:pt>
                <c:pt idx="1">
                  <c:v>22.643999999999998</c:v>
                </c:pt>
                <c:pt idx="2">
                  <c:v>26.354000000000003</c:v>
                </c:pt>
                <c:pt idx="3">
                  <c:v>18.713999999999999</c:v>
                </c:pt>
                <c:pt idx="4">
                  <c:v>23.78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BF-4E2A-9AE1-5D6EEFC173DB}"/>
            </c:ext>
          </c:extLst>
        </c:ser>
        <c:ser>
          <c:idx val="2"/>
          <c:order val="1"/>
          <c:tx>
            <c:v>Swipe 2D</c:v>
          </c:tx>
          <c:errBars>
            <c:errDir val="y"/>
            <c:errBarType val="both"/>
            <c:errValType val="cust"/>
            <c:noEndCap val="0"/>
            <c:plus>
              <c:numRef>
                <c:f>(ADDITIONALS!$AG$8,ADDITIONALS!$AL$8,ADDITIONALS!$AQ$8,ADDITIONALS!$AV$8,ADDITIONALS!$BA$8)</c:f>
                <c:numCache>
                  <c:formatCode>General</c:formatCode>
                  <c:ptCount val="5"/>
                  <c:pt idx="0">
                    <c:v>0.92016442708640789</c:v>
                  </c:pt>
                  <c:pt idx="1">
                    <c:v>1.0142384134607043</c:v>
                  </c:pt>
                  <c:pt idx="2">
                    <c:v>1.3981610342400321</c:v>
                  </c:pt>
                  <c:pt idx="3">
                    <c:v>1.1861438498866117</c:v>
                  </c:pt>
                  <c:pt idx="4">
                    <c:v>1.0703076750323492</c:v>
                  </c:pt>
                </c:numCache>
              </c:numRef>
            </c:plus>
            <c:minus>
              <c:numRef>
                <c:f>(ADDITIONALS!$AG$8,ADDITIONALS!$AL$8,ADDITIONALS!$AQ$8,ADDITIONALS!$AV$8,ADDITIONALS!$BA$8)</c:f>
                <c:numCache>
                  <c:formatCode>General</c:formatCode>
                  <c:ptCount val="5"/>
                  <c:pt idx="0">
                    <c:v>0.92016442708640789</c:v>
                  </c:pt>
                  <c:pt idx="1">
                    <c:v>1.0142384134607043</c:v>
                  </c:pt>
                  <c:pt idx="2">
                    <c:v>1.3981610342400321</c:v>
                  </c:pt>
                  <c:pt idx="3">
                    <c:v>1.1861438498866117</c:v>
                  </c:pt>
                  <c:pt idx="4">
                    <c:v>1.0703076750323492</c:v>
                  </c:pt>
                </c:numCache>
              </c:numRef>
            </c:minus>
            <c:spPr>
              <a:ln>
                <a:solidFill>
                  <a:schemeClr val="bg2">
                    <a:lumMod val="50000"/>
                  </a:schemeClr>
                </a:solidFill>
              </a:ln>
            </c:spPr>
          </c:errBars>
          <c:yVal>
            <c:numRef>
              <c:f>(ADDITIONALS!$A$8,ADDITIONALS!$F$8,ADDITIONALS!$K$8,ADDITIONALS!$P$8,ADDITIONALS!$U$8)</c:f>
              <c:numCache>
                <c:formatCode>0.00</c:formatCode>
                <c:ptCount val="5"/>
                <c:pt idx="0">
                  <c:v>21.712222222222223</c:v>
                </c:pt>
                <c:pt idx="1">
                  <c:v>26.587777777777781</c:v>
                </c:pt>
                <c:pt idx="2">
                  <c:v>29.117777777777778</c:v>
                </c:pt>
                <c:pt idx="3">
                  <c:v>21.545555555555556</c:v>
                </c:pt>
                <c:pt idx="4">
                  <c:v>25.224444444444444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3BF-4E2A-9AE1-5D6EEFC173DB}"/>
            </c:ext>
          </c:extLst>
        </c:ser>
        <c:ser>
          <c:idx val="0"/>
          <c:order val="2"/>
          <c:tx>
            <c:v>Reference</c:v>
          </c:tx>
          <c:spPr>
            <a:ln w="31750"/>
          </c:spPr>
          <c:errBars>
            <c:errDir val="y"/>
            <c:errBarType val="both"/>
            <c:errValType val="fixedVal"/>
            <c:noEndCap val="0"/>
            <c:val val="1"/>
            <c:spPr>
              <a:ln>
                <a:solidFill>
                  <a:schemeClr val="accent1">
                    <a:lumMod val="75000"/>
                  </a:schemeClr>
                </a:solidFill>
              </a:ln>
            </c:spPr>
          </c:errBars>
          <c:yVal>
            <c:numRef>
              <c:f>(ADDITIONALS!$AD$17,ADDITIONALS!$AD$22,ADDITIONALS!$AD$27,ADDITIONALS!$AD$32,ADDITIONALS!$AD$37)</c:f>
              <c:numCache>
                <c:formatCode>0.00</c:formatCode>
                <c:ptCount val="5"/>
                <c:pt idx="0">
                  <c:v>8.76</c:v>
                </c:pt>
                <c:pt idx="1">
                  <c:v>14.15</c:v>
                </c:pt>
                <c:pt idx="2">
                  <c:v>18.03</c:v>
                </c:pt>
                <c:pt idx="3">
                  <c:v>10.23</c:v>
                </c:pt>
                <c:pt idx="4">
                  <c:v>13.22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BF-4E2A-9AE1-5D6EEFC17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  <c:max val="40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Click tAbs 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Click 3D</c:v>
          </c:tx>
          <c:marker>
            <c:spPr>
              <a:effectLst>
                <a:softEdge rad="0"/>
              </a:effectLst>
            </c:spPr>
          </c:marker>
          <c:errBars>
            <c:errDir val="y"/>
            <c:errBarType val="both"/>
            <c:errValType val="cust"/>
            <c:noEndCap val="0"/>
            <c:plus>
              <c:numRef>
                <c:f>(ADDITIONALS!$AG$6,ADDITIONALS!$AL$6,ADDITIONALS!$AQ$6,ADDITIONALS!$AV$6,ADDITIONALS!$BA$6)</c:f>
                <c:numCache>
                  <c:formatCode>General</c:formatCode>
                  <c:ptCount val="5"/>
                  <c:pt idx="0">
                    <c:v>0.80590280144747906</c:v>
                  </c:pt>
                  <c:pt idx="1">
                    <c:v>1.0661845545704109</c:v>
                  </c:pt>
                  <c:pt idx="2">
                    <c:v>0.97118573688069731</c:v>
                  </c:pt>
                  <c:pt idx="3">
                    <c:v>0.7892826336107619</c:v>
                  </c:pt>
                  <c:pt idx="4">
                    <c:v>1.1024355229458773</c:v>
                  </c:pt>
                </c:numCache>
              </c:numRef>
            </c:plus>
            <c:minus>
              <c:numRef>
                <c:f>(ADDITIONALS!$AG$6,ADDITIONALS!$AL$6,ADDITIONALS!$AQ$6,ADDITIONALS!$AV$6,ADDITIONALS!$BA$6)</c:f>
                <c:numCache>
                  <c:formatCode>General</c:formatCode>
                  <c:ptCount val="5"/>
                  <c:pt idx="0">
                    <c:v>0.80590280144747906</c:v>
                  </c:pt>
                  <c:pt idx="1">
                    <c:v>1.0661845545704109</c:v>
                  </c:pt>
                  <c:pt idx="2">
                    <c:v>0.97118573688069731</c:v>
                  </c:pt>
                  <c:pt idx="3">
                    <c:v>0.7892826336107619</c:v>
                  </c:pt>
                  <c:pt idx="4">
                    <c:v>1.1024355229458773</c:v>
                  </c:pt>
                </c:numCache>
              </c:numRef>
            </c:minus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yVal>
            <c:numRef>
              <c:f>(ADDITIONALS!$A$6,ADDITIONALS!$F$6,ADDITIONALS!$K$6,ADDITIONALS!$P$6,ADDITIONALS!$U$6)</c:f>
              <c:numCache>
                <c:formatCode>0.00</c:formatCode>
                <c:ptCount val="5"/>
                <c:pt idx="0">
                  <c:v>14.945833333333333</c:v>
                </c:pt>
                <c:pt idx="1">
                  <c:v>20.950833333333332</c:v>
                </c:pt>
                <c:pt idx="2">
                  <c:v>26.74666666666667</c:v>
                </c:pt>
                <c:pt idx="3">
                  <c:v>17.969166666666663</c:v>
                </c:pt>
                <c:pt idx="4">
                  <c:v>25.664166666666663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A7-426D-9A4B-27DEB9205FDE}"/>
            </c:ext>
          </c:extLst>
        </c:ser>
        <c:ser>
          <c:idx val="3"/>
          <c:order val="1"/>
          <c:tx>
            <c:v>Click 2D</c:v>
          </c:tx>
          <c:errBars>
            <c:errDir val="y"/>
            <c:errBarType val="both"/>
            <c:errValType val="cust"/>
            <c:noEndCap val="0"/>
            <c:plus>
              <c:numRef>
                <c:f>(ADDITIONALS!$AG$12,ADDITIONALS!$AL$12,ADDITIONALS!$AQ$12,ADDITIONALS!$AV$12,ADDITIONALS!$BA$12)</c:f>
                <c:numCache>
                  <c:formatCode>General</c:formatCode>
                  <c:ptCount val="5"/>
                  <c:pt idx="0">
                    <c:v>0.93614309396818296</c:v>
                  </c:pt>
                  <c:pt idx="1">
                    <c:v>1.0024084724116307</c:v>
                  </c:pt>
                  <c:pt idx="2">
                    <c:v>0.93541530119645977</c:v>
                  </c:pt>
                  <c:pt idx="3">
                    <c:v>1.174011375426397</c:v>
                  </c:pt>
                  <c:pt idx="4">
                    <c:v>1.5404480002574368</c:v>
                  </c:pt>
                </c:numCache>
              </c:numRef>
            </c:plus>
            <c:minus>
              <c:numRef>
                <c:f>(ADDITIONALS!$AG$12,ADDITIONALS!$AL$12,ADDITIONALS!$AQ$12,ADDITIONALS!$AV$12,ADDITIONALS!$BA$12)</c:f>
                <c:numCache>
                  <c:formatCode>General</c:formatCode>
                  <c:ptCount val="5"/>
                  <c:pt idx="0">
                    <c:v>0.93614309396818296</c:v>
                  </c:pt>
                  <c:pt idx="1">
                    <c:v>1.0024084724116307</c:v>
                  </c:pt>
                  <c:pt idx="2">
                    <c:v>0.93541530119645977</c:v>
                  </c:pt>
                  <c:pt idx="3">
                    <c:v>1.174011375426397</c:v>
                  </c:pt>
                  <c:pt idx="4">
                    <c:v>1.5404480002574368</c:v>
                  </c:pt>
                </c:numCache>
              </c:numRef>
            </c:minus>
            <c:spPr>
              <a:ln>
                <a:solidFill>
                  <a:schemeClr val="accent4">
                    <a:lumMod val="75000"/>
                  </a:schemeClr>
                </a:solidFill>
              </a:ln>
            </c:spPr>
          </c:errBars>
          <c:yVal>
            <c:numRef>
              <c:f>(ADDITIONALS!$A$12,ADDITIONALS!$F$12,ADDITIONALS!$K$12,ADDITIONALS!$P$12,ADDITIONALS!$U$12)</c:f>
              <c:numCache>
                <c:formatCode>0.00</c:formatCode>
                <c:ptCount val="5"/>
                <c:pt idx="0">
                  <c:v>12.0025</c:v>
                </c:pt>
                <c:pt idx="1">
                  <c:v>16.610000000000003</c:v>
                </c:pt>
                <c:pt idx="2">
                  <c:v>20.239999999999998</c:v>
                </c:pt>
                <c:pt idx="3">
                  <c:v>16.3325</c:v>
                </c:pt>
                <c:pt idx="4">
                  <c:v>22.053750000000001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A7-426D-9A4B-27DEB9205FDE}"/>
            </c:ext>
          </c:extLst>
        </c:ser>
        <c:ser>
          <c:idx val="0"/>
          <c:order val="2"/>
          <c:tx>
            <c:v>Reference</c:v>
          </c:tx>
          <c:spPr>
            <a:ln w="31750"/>
          </c:spPr>
          <c:errBars>
            <c:errDir val="y"/>
            <c:errBarType val="both"/>
            <c:errValType val="fixedVal"/>
            <c:noEndCap val="0"/>
            <c:val val="1"/>
            <c:spPr>
              <a:ln>
                <a:solidFill>
                  <a:schemeClr val="accent1">
                    <a:lumMod val="50000"/>
                  </a:schemeClr>
                </a:solidFill>
              </a:ln>
            </c:spPr>
          </c:errBars>
          <c:yVal>
            <c:numRef>
              <c:f>(ADDITIONALS!$AE$17,ADDITIONALS!$AE$22,ADDITIONALS!$AE$27,ADDITIONALS!$AE$32,ADDITIONALS!$AE$37)</c:f>
              <c:numCache>
                <c:formatCode>0.00</c:formatCode>
                <c:ptCount val="5"/>
                <c:pt idx="0">
                  <c:v>9.65</c:v>
                </c:pt>
                <c:pt idx="1">
                  <c:v>15.4</c:v>
                </c:pt>
                <c:pt idx="2">
                  <c:v>19.239999999999998</c:v>
                </c:pt>
                <c:pt idx="3">
                  <c:v>13.31</c:v>
                </c:pt>
                <c:pt idx="4">
                  <c:v>16.260000000000002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A7-426D-9A4B-27DEB9205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  <c:max val="40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Swipe tAbs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Swipe 3D</c:v>
          </c:tx>
          <c:errBars>
            <c:errDir val="y"/>
            <c:errBarType val="both"/>
            <c:errValType val="cust"/>
            <c:noEndCap val="0"/>
            <c:plus>
              <c:numRef>
                <c:f>(ADDITIONALS!$AG$2,ADDITIONALS!$AL$2,ADDITIONALS!$AQ$2,ADDITIONALS!$AV$2,ADDITIONALS!$BA$2)</c:f>
                <c:numCache>
                  <c:formatCode>General</c:formatCode>
                  <c:ptCount val="5"/>
                  <c:pt idx="0">
                    <c:v>0.75092052609849036</c:v>
                  </c:pt>
                  <c:pt idx="1">
                    <c:v>0.9578544512312821</c:v>
                  </c:pt>
                  <c:pt idx="2">
                    <c:v>1.1858769746291333</c:v>
                  </c:pt>
                  <c:pt idx="3">
                    <c:v>0.96262977570376396</c:v>
                  </c:pt>
                  <c:pt idx="4">
                    <c:v>1.165584618027641</c:v>
                  </c:pt>
                </c:numCache>
              </c:numRef>
            </c:plus>
            <c:minus>
              <c:numRef>
                <c:f>(ADDITIONALS!$AG$3,ADDITIONALS!$AL$3,ADDITIONALS!$AQ$3,ADDITIONALS!$AV$3,ADDITIONALS!$BA$3)</c:f>
                <c:numCache>
                  <c:formatCode>General</c:formatCode>
                  <c:ptCount val="5"/>
                  <c:pt idx="0">
                    <c:v>0.90313600584581055</c:v>
                  </c:pt>
                  <c:pt idx="1">
                    <c:v>1.0127807589225835</c:v>
                  </c:pt>
                  <c:pt idx="2">
                    <c:v>0.99861688312657648</c:v>
                  </c:pt>
                  <c:pt idx="3">
                    <c:v>0.81377883059782785</c:v>
                  </c:pt>
                  <c:pt idx="4">
                    <c:v>0.94000302195551089</c:v>
                  </c:pt>
                </c:numCache>
              </c:numRef>
            </c:minus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yVal>
            <c:numRef>
              <c:f>(ADDITIONALS!$A$3,ADDITIONALS!$F$3,ADDITIONALS!$K$3,ADDITIONALS!$P$3,ADDITIONALS!$U$3)</c:f>
              <c:numCache>
                <c:formatCode>0.00</c:formatCode>
                <c:ptCount val="5"/>
                <c:pt idx="0">
                  <c:v>10.4</c:v>
                </c:pt>
                <c:pt idx="1">
                  <c:v>15.134</c:v>
                </c:pt>
                <c:pt idx="2">
                  <c:v>19.494</c:v>
                </c:pt>
                <c:pt idx="3">
                  <c:v>13.086000000000002</c:v>
                </c:pt>
                <c:pt idx="4">
                  <c:v>18.346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4-4057-9221-4C510394E3B6}"/>
            </c:ext>
          </c:extLst>
        </c:ser>
        <c:ser>
          <c:idx val="2"/>
          <c:order val="1"/>
          <c:tx>
            <c:v>Swipe 2D</c:v>
          </c:tx>
          <c:errBars>
            <c:errDir val="y"/>
            <c:errBarType val="both"/>
            <c:errValType val="cust"/>
            <c:noEndCap val="0"/>
            <c:plus>
              <c:numRef>
                <c:f>(ADDITIONALS!$AG$12,ADDITIONALS!$AL$12,ADDITIONALS!$AQ$12,ADDITIONALS!$AV$12,ADDITIONALS!$BA$12)</c:f>
                <c:numCache>
                  <c:formatCode>General</c:formatCode>
                  <c:ptCount val="5"/>
                  <c:pt idx="0">
                    <c:v>0.93614309396818296</c:v>
                  </c:pt>
                  <c:pt idx="1">
                    <c:v>1.0024084724116307</c:v>
                  </c:pt>
                  <c:pt idx="2">
                    <c:v>0.93541530119645977</c:v>
                  </c:pt>
                  <c:pt idx="3">
                    <c:v>1.174011375426397</c:v>
                  </c:pt>
                  <c:pt idx="4">
                    <c:v>1.5404480002574368</c:v>
                  </c:pt>
                </c:numCache>
              </c:numRef>
            </c:plus>
            <c:minus>
              <c:numRef>
                <c:f>(ADDITIONALS!$AG$12,ADDITIONALS!$AL$12,ADDITIONALS!$AQ$12,ADDITIONALS!$AV$12,ADDITIONALS!$BA$12)</c:f>
                <c:numCache>
                  <c:formatCode>General</c:formatCode>
                  <c:ptCount val="5"/>
                  <c:pt idx="0">
                    <c:v>0.93614309396818296</c:v>
                  </c:pt>
                  <c:pt idx="1">
                    <c:v>1.0024084724116307</c:v>
                  </c:pt>
                  <c:pt idx="2">
                    <c:v>0.93541530119645977</c:v>
                  </c:pt>
                  <c:pt idx="3">
                    <c:v>1.174011375426397</c:v>
                  </c:pt>
                  <c:pt idx="4">
                    <c:v>1.5404480002574368</c:v>
                  </c:pt>
                </c:numCache>
              </c:numRef>
            </c:minus>
            <c:spPr>
              <a:ln>
                <a:solidFill>
                  <a:schemeClr val="bg2">
                    <a:lumMod val="50000"/>
                  </a:schemeClr>
                </a:solidFill>
              </a:ln>
            </c:spPr>
          </c:errBars>
          <c:yVal>
            <c:numRef>
              <c:f>(ADDITIONALS!$A$9,ADDITIONALS!$F$9,ADDITIONALS!$K$9,ADDITIONALS!$P$9,ADDITIONALS!$U$9)</c:f>
              <c:numCache>
                <c:formatCode>0.00</c:formatCode>
                <c:ptCount val="5"/>
                <c:pt idx="0">
                  <c:v>13.083333333333334</c:v>
                </c:pt>
                <c:pt idx="1">
                  <c:v>18.155555555555551</c:v>
                </c:pt>
                <c:pt idx="2">
                  <c:v>22.84888888888889</c:v>
                </c:pt>
                <c:pt idx="3">
                  <c:v>14.709999999999999</c:v>
                </c:pt>
                <c:pt idx="4">
                  <c:v>28.402222222222221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54-4057-9221-4C510394E3B6}"/>
            </c:ext>
          </c:extLst>
        </c:ser>
        <c:ser>
          <c:idx val="0"/>
          <c:order val="2"/>
          <c:tx>
            <c:v>Reference</c:v>
          </c:tx>
          <c:spPr>
            <a:ln w="31750"/>
          </c:spPr>
          <c:errBars>
            <c:errDir val="y"/>
            <c:errBarType val="both"/>
            <c:errValType val="fixedVal"/>
            <c:noEndCap val="0"/>
            <c:val val="1"/>
            <c:spPr>
              <a:ln>
                <a:solidFill>
                  <a:schemeClr val="accent1">
                    <a:lumMod val="75000"/>
                  </a:schemeClr>
                </a:solidFill>
              </a:ln>
            </c:spPr>
          </c:errBars>
          <c:yVal>
            <c:numRef>
              <c:f>(ADDITIONALS!$AD$17,ADDITIONALS!$AD$22,ADDITIONALS!$AD$27,ADDITIONALS!$AD$32,ADDITIONALS!$AD$37)</c:f>
              <c:numCache>
                <c:formatCode>0.00</c:formatCode>
                <c:ptCount val="5"/>
                <c:pt idx="0">
                  <c:v>8.76</c:v>
                </c:pt>
                <c:pt idx="1">
                  <c:v>14.15</c:v>
                </c:pt>
                <c:pt idx="2">
                  <c:v>18.03</c:v>
                </c:pt>
                <c:pt idx="3">
                  <c:v>10.23</c:v>
                </c:pt>
                <c:pt idx="4">
                  <c:v>13.22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54-4057-9221-4C510394E3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  <c:max val="40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relative/mean/ring rotations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(RESULTS_DELTA!$F$3,RESULTS_DELTA!$K$3,RESULTS_DELTA!$P$3,RESULTS_DELTA!$U$3,RESULTS_DELTA!$Z$3)</c:f>
              <c:numCache>
                <c:formatCode>0.00</c:formatCode>
                <c:ptCount val="5"/>
                <c:pt idx="0">
                  <c:v>0.4</c:v>
                </c:pt>
                <c:pt idx="1">
                  <c:v>-0.2</c:v>
                </c:pt>
                <c:pt idx="2">
                  <c:v>1.4</c:v>
                </c:pt>
                <c:pt idx="3">
                  <c:v>0.6</c:v>
                </c:pt>
                <c:pt idx="4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C-47F3-9985-3A7B82887291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(RESULTS_DELTA!$F$23,RESULTS_DELTA!$K$23,RESULTS_DELTA!$P$23,RESULTS_DELTA!$U$23,RESULTS_DELTA!$Z$23)</c:f>
              <c:numCache>
                <c:formatCode>0.00</c:formatCode>
                <c:ptCount val="5"/>
                <c:pt idx="0">
                  <c:v>0.91666666666666663</c:v>
                </c:pt>
                <c:pt idx="1">
                  <c:v>1.0833333333333333</c:v>
                </c:pt>
                <c:pt idx="2">
                  <c:v>2</c:v>
                </c:pt>
                <c:pt idx="3">
                  <c:v>1.4166666666666667</c:v>
                </c:pt>
                <c:pt idx="4">
                  <c:v>0.83333333333333337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EC-47F3-9985-3A7B82887291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(RESULTS_DELTA!$F$43,RESULTS_DELTA!$K$43,RESULTS_DELTA!$P$43,RESULTS_DELTA!$U$43,RESULTS_DELTA!$Z$43)</c:f>
              <c:numCache>
                <c:formatCode>0.00</c:formatCode>
                <c:ptCount val="5"/>
                <c:pt idx="0">
                  <c:v>0.44444444444444442</c:v>
                </c:pt>
                <c:pt idx="1">
                  <c:v>0.88888888888888884</c:v>
                </c:pt>
                <c:pt idx="2">
                  <c:v>0.55555555555555558</c:v>
                </c:pt>
                <c:pt idx="3">
                  <c:v>0.88888888888888884</c:v>
                </c:pt>
                <c:pt idx="4">
                  <c:v>0.55555555555555558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EC-47F3-9985-3A7B82887291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(RESULTS_DELTA!$F$63,RESULTS_DELTA!$K$63,RESULTS_DELTA!$P$63,RESULTS_DELTA!$U$63,RESULTS_DELTA!$Z$63)</c:f>
              <c:numCache>
                <c:formatCode>0.00</c:formatCode>
                <c:ptCount val="5"/>
                <c:pt idx="0">
                  <c:v>2</c:v>
                </c:pt>
                <c:pt idx="1">
                  <c:v>0.25</c:v>
                </c:pt>
                <c:pt idx="2">
                  <c:v>2.75</c:v>
                </c:pt>
                <c:pt idx="3">
                  <c:v>1.375</c:v>
                </c:pt>
                <c:pt idx="4">
                  <c:v>3.375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EC-47F3-9985-3A7B828872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1023664"/>
        <c:axId val="691026288"/>
      </c:barChart>
      <c:catAx>
        <c:axId val="691023664"/>
        <c:scaling>
          <c:orientation val="minMax"/>
        </c:scaling>
        <c:delete val="0"/>
        <c:axPos val="b"/>
        <c:majorTickMark val="out"/>
        <c:minorTickMark val="none"/>
        <c:tickLblPos val="low"/>
        <c:crossAx val="691026288"/>
        <c:crossesAt val="0"/>
        <c:auto val="1"/>
        <c:lblAlgn val="ctr"/>
        <c:lblOffset val="100"/>
        <c:noMultiLvlLbl val="0"/>
      </c:catAx>
      <c:valAx>
        <c:axId val="691026288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236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relative/mean/ring rotations _ NORM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ADDITIONALS!$D$88:$H$88</c:f>
              <c:numCache>
                <c:formatCode>General</c:formatCode>
                <c:ptCount val="5"/>
                <c:pt idx="0">
                  <c:v>0.4</c:v>
                </c:pt>
                <c:pt idx="1">
                  <c:v>-0.1</c:v>
                </c:pt>
                <c:pt idx="2">
                  <c:v>1.4</c:v>
                </c:pt>
                <c:pt idx="3">
                  <c:v>0.6</c:v>
                </c:pt>
                <c:pt idx="4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9F-47FE-9341-A6D3955CB64D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ADDITIONALS!$D$90:$H$90</c:f>
              <c:numCache>
                <c:formatCode>General</c:formatCode>
                <c:ptCount val="5"/>
                <c:pt idx="0">
                  <c:v>0.91666666666666663</c:v>
                </c:pt>
                <c:pt idx="1">
                  <c:v>0.3611111111111111</c:v>
                </c:pt>
                <c:pt idx="2">
                  <c:v>2</c:v>
                </c:pt>
                <c:pt idx="3">
                  <c:v>1.4166666666666667</c:v>
                </c:pt>
                <c:pt idx="4">
                  <c:v>0.41666666666666669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9F-47FE-9341-A6D3955CB64D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ADDITIONALS!$D$92:$H$92</c:f>
              <c:numCache>
                <c:formatCode>General</c:formatCode>
                <c:ptCount val="5"/>
                <c:pt idx="0">
                  <c:v>0.44444444444444442</c:v>
                </c:pt>
                <c:pt idx="1">
                  <c:v>0.44444444444444442</c:v>
                </c:pt>
                <c:pt idx="2">
                  <c:v>0.55555555555555558</c:v>
                </c:pt>
                <c:pt idx="3">
                  <c:v>0.88888888888888884</c:v>
                </c:pt>
                <c:pt idx="4">
                  <c:v>0.55555555555555558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9F-47FE-9341-A6D3955CB64D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ADDITIONALS!$D$94:$H$94</c:f>
              <c:numCache>
                <c:formatCode>General</c:formatCode>
                <c:ptCount val="5"/>
                <c:pt idx="0">
                  <c:v>2</c:v>
                </c:pt>
                <c:pt idx="1">
                  <c:v>8.3333333333333329E-2</c:v>
                </c:pt>
                <c:pt idx="2">
                  <c:v>2.75</c:v>
                </c:pt>
                <c:pt idx="3">
                  <c:v>1.375</c:v>
                </c:pt>
                <c:pt idx="4">
                  <c:v>1.6875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9F-47FE-9341-A6D3955CB6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7568672"/>
        <c:axId val="637571624"/>
      </c:barChart>
      <c:catAx>
        <c:axId val="637568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crossAx val="637571624"/>
        <c:crossesAt val="0"/>
        <c:auto val="1"/>
        <c:lblAlgn val="ctr"/>
        <c:lblOffset val="100"/>
        <c:noMultiLvlLbl val="0"/>
      </c:catAx>
      <c:valAx>
        <c:axId val="637571624"/>
        <c:scaling>
          <c:orientation val="minMax"/>
          <c:max val="4"/>
          <c:min val="-0.5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relative/mean/screen touches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(RESULTS_DELTA!$G$3,RESULTS_DELTA!$L$3,RESULTS_DELTA!$Q$3,RESULTS_DELTA!$V$3,RESULTS_DELTA!$AA$3)</c:f>
              <c:numCache>
                <c:formatCode>0.00</c:formatCode>
                <c:ptCount val="5"/>
                <c:pt idx="0">
                  <c:v>0.8</c:v>
                </c:pt>
                <c:pt idx="1">
                  <c:v>-0.6</c:v>
                </c:pt>
                <c:pt idx="2">
                  <c:v>2.6</c:v>
                </c:pt>
                <c:pt idx="3">
                  <c:v>0</c:v>
                </c:pt>
                <c:pt idx="4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91-4E23-9CC0-688CFB7736D1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(RESULTS_DELTA!$G$23,RESULTS_DELTA!$L$23,RESULTS_DELTA!$Q$23,RESULTS_DELTA!$V$23,RESULTS_DELTA!$AA$23)</c:f>
              <c:numCache>
                <c:formatCode>0.00</c:formatCode>
                <c:ptCount val="5"/>
                <c:pt idx="0">
                  <c:v>2.8333333333333335</c:v>
                </c:pt>
                <c:pt idx="1">
                  <c:v>1.9166666666666667</c:v>
                </c:pt>
                <c:pt idx="2">
                  <c:v>2.3333333333333335</c:v>
                </c:pt>
                <c:pt idx="3">
                  <c:v>1.25</c:v>
                </c:pt>
                <c:pt idx="4">
                  <c:v>1.4166666666666667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91-4E23-9CC0-688CFB7736D1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(RESULTS_DELTA!$G$43,RESULTS_DELTA!$L$43,RESULTS_DELTA!$Q$43,RESULTS_DELTA!$V$43,RESULTS_DELTA!$AA$43)</c:f>
              <c:numCache>
                <c:formatCode>0.00</c:formatCode>
                <c:ptCount val="5"/>
                <c:pt idx="0">
                  <c:v>2.5555555555555554</c:v>
                </c:pt>
                <c:pt idx="1">
                  <c:v>1.5555555555555556</c:v>
                </c:pt>
                <c:pt idx="2">
                  <c:v>1</c:v>
                </c:pt>
                <c:pt idx="3">
                  <c:v>1.8888888888888888</c:v>
                </c:pt>
                <c:pt idx="4">
                  <c:v>1.3333333333333333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91-4E23-9CC0-688CFB7736D1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(RESULTS_DELTA!$G$63,RESULTS_DELTA!$L$63,RESULTS_DELTA!$Q$63,RESULTS_DELTA!$V$63,RESULTS_DELTA!$AA$63)</c:f>
              <c:numCache>
                <c:formatCode>0.00</c:formatCode>
                <c:ptCount val="5"/>
                <c:pt idx="0">
                  <c:v>3.25</c:v>
                </c:pt>
                <c:pt idx="1">
                  <c:v>3</c:v>
                </c:pt>
                <c:pt idx="2">
                  <c:v>5.5</c:v>
                </c:pt>
                <c:pt idx="3">
                  <c:v>2.25</c:v>
                </c:pt>
                <c:pt idx="4">
                  <c:v>3.875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91-4E23-9CC0-688CFB773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7566376"/>
        <c:axId val="637567360"/>
      </c:barChart>
      <c:catAx>
        <c:axId val="637566376"/>
        <c:scaling>
          <c:orientation val="minMax"/>
        </c:scaling>
        <c:delete val="0"/>
        <c:axPos val="b"/>
        <c:majorTickMark val="out"/>
        <c:minorTickMark val="none"/>
        <c:tickLblPos val="low"/>
        <c:crossAx val="637567360"/>
        <c:crossesAt val="0"/>
        <c:auto val="1"/>
        <c:lblAlgn val="ctr"/>
        <c:lblOffset val="100"/>
        <c:noMultiLvlLbl val="0"/>
      </c:catAx>
      <c:valAx>
        <c:axId val="637567360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663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relative/mean/</a:t>
            </a:r>
            <a:r>
              <a:rPr lang="pl-PL" sz="1800" b="1" i="0" u="none" strike="noStrike" baseline="0">
                <a:effectLst/>
              </a:rPr>
              <a:t>screen touches</a:t>
            </a:r>
            <a:r>
              <a:rPr lang="pl-PL"/>
              <a:t>_ NORM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ADDITIONALS!$Q$88:$U$88</c:f>
              <c:numCache>
                <c:formatCode>General</c:formatCode>
                <c:ptCount val="5"/>
                <c:pt idx="0">
                  <c:v>0.4</c:v>
                </c:pt>
                <c:pt idx="1">
                  <c:v>-0.19999999999999998</c:v>
                </c:pt>
                <c:pt idx="2">
                  <c:v>1.3</c:v>
                </c:pt>
                <c:pt idx="3">
                  <c:v>0</c:v>
                </c:pt>
                <c:pt idx="4">
                  <c:v>1.1000000000000001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3-4AFF-B979-3D0289361F5E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ADDITIONALS!$Q$90:$U$90</c:f>
              <c:numCache>
                <c:formatCode>General</c:formatCode>
                <c:ptCount val="5"/>
                <c:pt idx="0">
                  <c:v>0.94444444444444453</c:v>
                </c:pt>
                <c:pt idx="1">
                  <c:v>0.38333333333333336</c:v>
                </c:pt>
                <c:pt idx="2">
                  <c:v>0.77777777777777779</c:v>
                </c:pt>
                <c:pt idx="3">
                  <c:v>0.41666666666666669</c:v>
                </c:pt>
                <c:pt idx="4">
                  <c:v>0.35416666666666669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33-4AFF-B979-3D0289361F5E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ADDITIONALS!$Q$92:$U$92</c:f>
              <c:numCache>
                <c:formatCode>General</c:formatCode>
                <c:ptCount val="5"/>
                <c:pt idx="0">
                  <c:v>1.2777777777777777</c:v>
                </c:pt>
                <c:pt idx="1">
                  <c:v>0.51851851851851849</c:v>
                </c:pt>
                <c:pt idx="2">
                  <c:v>0.5</c:v>
                </c:pt>
                <c:pt idx="3">
                  <c:v>0.94444444444444442</c:v>
                </c:pt>
                <c:pt idx="4">
                  <c:v>0.66666666666666663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33-4AFF-B979-3D0289361F5E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ADDITIONALS!$Q$94:$U$94</c:f>
              <c:numCache>
                <c:formatCode>General</c:formatCode>
                <c:ptCount val="5"/>
                <c:pt idx="0">
                  <c:v>1.0833333333333333</c:v>
                </c:pt>
                <c:pt idx="1">
                  <c:v>0.6</c:v>
                </c:pt>
                <c:pt idx="2">
                  <c:v>1.8333333333333333</c:v>
                </c:pt>
                <c:pt idx="3">
                  <c:v>0.75</c:v>
                </c:pt>
                <c:pt idx="4">
                  <c:v>0.96875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233-4AFF-B979-3D0289361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7568672"/>
        <c:axId val="637571624"/>
      </c:barChart>
      <c:catAx>
        <c:axId val="637568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crossAx val="637571624"/>
        <c:crossesAt val="0"/>
        <c:auto val="1"/>
        <c:lblAlgn val="ctr"/>
        <c:lblOffset val="100"/>
        <c:noMultiLvlLbl val="0"/>
      </c:catAx>
      <c:valAx>
        <c:axId val="63757162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Click clicks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Click 3D</c:v>
          </c:tx>
          <c:marker>
            <c:spPr>
              <a:effectLst>
                <a:softEdge rad="0"/>
              </a:effectLst>
            </c:spPr>
          </c:marker>
          <c:errBars>
            <c:errDir val="y"/>
            <c:errBarType val="both"/>
            <c:errValType val="cust"/>
            <c:noEndCap val="0"/>
            <c:plus>
              <c:numRef>
                <c:f>(ADDITIONALS!$AK$5,ADDITIONALS!$AP$5,ADDITIONALS!$AU$5,ADDITIONALS!$AZ$5,ADDITIONALS!$BE$5)</c:f>
                <c:numCache>
                  <c:formatCode>General</c:formatCode>
                  <c:ptCount val="5"/>
                  <c:pt idx="0">
                    <c:v>0.71761198586899655</c:v>
                  </c:pt>
                  <c:pt idx="1">
                    <c:v>0.8154980507720514</c:v>
                  </c:pt>
                  <c:pt idx="2">
                    <c:v>1.0392898776254118</c:v>
                  </c:pt>
                  <c:pt idx="3">
                    <c:v>0.71761198586899644</c:v>
                  </c:pt>
                  <c:pt idx="4">
                    <c:v>0.86401371678851535</c:v>
                  </c:pt>
                </c:numCache>
              </c:numRef>
            </c:plus>
            <c:minus>
              <c:numRef>
                <c:f>(ADDITIONALS!$AK$5,ADDITIONALS!$AP$5,ADDITIONALS!$AU$5,ADDITIONALS!$AZ$5,ADDITIONALS!$BE$5)</c:f>
                <c:numCache>
                  <c:formatCode>General</c:formatCode>
                  <c:ptCount val="5"/>
                  <c:pt idx="0">
                    <c:v>0.71761198586899655</c:v>
                  </c:pt>
                  <c:pt idx="1">
                    <c:v>0.8154980507720514</c:v>
                  </c:pt>
                  <c:pt idx="2">
                    <c:v>1.0392898776254118</c:v>
                  </c:pt>
                  <c:pt idx="3">
                    <c:v>0.71761198586899644</c:v>
                  </c:pt>
                  <c:pt idx="4">
                    <c:v>0.86401371678851535</c:v>
                  </c:pt>
                </c:numCache>
              </c:numRef>
            </c:minus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yVal>
            <c:numRef>
              <c:f>(ADDITIONALS!$E$5,ADDITIONALS!$J$5,ADDITIONALS!$O$5,ADDITIONALS!$T$5,ADDITIONALS!$Y$5)</c:f>
              <c:numCache>
                <c:formatCode>0.00</c:formatCode>
                <c:ptCount val="5"/>
                <c:pt idx="0">
                  <c:v>9.0833333333333339</c:v>
                </c:pt>
                <c:pt idx="1">
                  <c:v>9.5833333333333339</c:v>
                </c:pt>
                <c:pt idx="2">
                  <c:v>8</c:v>
                </c:pt>
                <c:pt idx="3">
                  <c:v>6.916666666666667</c:v>
                </c:pt>
                <c:pt idx="4">
                  <c:v>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BB-406D-8969-2E0FD5ECD3CF}"/>
            </c:ext>
          </c:extLst>
        </c:ser>
        <c:ser>
          <c:idx val="3"/>
          <c:order val="1"/>
          <c:tx>
            <c:v>Click 2D</c:v>
          </c:tx>
          <c:errBars>
            <c:errDir val="y"/>
            <c:errBarType val="both"/>
            <c:errValType val="cust"/>
            <c:noEndCap val="0"/>
            <c:plus>
              <c:numRef>
                <c:f>(ADDITIONALS!$AK$11,ADDITIONALS!$AP$11,ADDITIONALS!$AU$11,ADDITIONALS!$AZ$11,ADDITIONALS!$BE$11)</c:f>
                <c:numCache>
                  <c:formatCode>General</c:formatCode>
                  <c:ptCount val="5"/>
                  <c:pt idx="0">
                    <c:v>1.0278661605596131</c:v>
                  </c:pt>
                  <c:pt idx="1">
                    <c:v>0.98578369221733342</c:v>
                  </c:pt>
                  <c:pt idx="2">
                    <c:v>1.1750192028849604</c:v>
                  </c:pt>
                  <c:pt idx="3">
                    <c:v>0.93985683833704725</c:v>
                  </c:pt>
                  <c:pt idx="4">
                    <c:v>0.74532687532533293</c:v>
                  </c:pt>
                </c:numCache>
              </c:numRef>
            </c:plus>
            <c:minus>
              <c:numRef>
                <c:f>(ADDITIONALS!$AK$11,ADDITIONALS!$AP$11,ADDITIONALS!$AU$11,ADDITIONALS!$AZ$11,ADDITIONALS!$BE$11)</c:f>
                <c:numCache>
                  <c:formatCode>General</c:formatCode>
                  <c:ptCount val="5"/>
                  <c:pt idx="0">
                    <c:v>1.0278661605596131</c:v>
                  </c:pt>
                  <c:pt idx="1">
                    <c:v>0.98578369221733342</c:v>
                  </c:pt>
                  <c:pt idx="2">
                    <c:v>1.1750192028849604</c:v>
                  </c:pt>
                  <c:pt idx="3">
                    <c:v>0.93985683833704725</c:v>
                  </c:pt>
                  <c:pt idx="4">
                    <c:v>0.74532687532533293</c:v>
                  </c:pt>
                </c:numCache>
              </c:numRef>
            </c:minus>
            <c:spPr>
              <a:ln>
                <a:solidFill>
                  <a:schemeClr val="accent4">
                    <a:lumMod val="75000"/>
                  </a:schemeClr>
                </a:solidFill>
              </a:ln>
            </c:spPr>
          </c:errBars>
          <c:yVal>
            <c:numRef>
              <c:f>(ADDITIONALS!$E$11,ADDITIONALS!$J$11,ADDITIONALS!$O$11,ADDITIONALS!$T$11,ADDITIONALS!$Y$11)</c:f>
              <c:numCache>
                <c:formatCode>0.00</c:formatCode>
                <c:ptCount val="5"/>
                <c:pt idx="0">
                  <c:v>9.875</c:v>
                </c:pt>
                <c:pt idx="1">
                  <c:v>12.125</c:v>
                </c:pt>
                <c:pt idx="2">
                  <c:v>11.5</c:v>
                </c:pt>
                <c:pt idx="3">
                  <c:v>8.375</c:v>
                </c:pt>
                <c:pt idx="4">
                  <c:v>11.25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BB-406D-8969-2E0FD5ECD3CF}"/>
            </c:ext>
          </c:extLst>
        </c:ser>
        <c:ser>
          <c:idx val="0"/>
          <c:order val="2"/>
          <c:tx>
            <c:v>Reference</c:v>
          </c:tx>
          <c:spPr>
            <a:ln w="31750"/>
          </c:spPr>
          <c:errBars>
            <c:errDir val="y"/>
            <c:errBarType val="both"/>
            <c:errValType val="fixedVal"/>
            <c:noEndCap val="0"/>
            <c:val val="0"/>
            <c:spPr>
              <a:ln>
                <a:solidFill>
                  <a:schemeClr val="accent1">
                    <a:lumMod val="50000"/>
                  </a:schemeClr>
                </a:solidFill>
              </a:ln>
            </c:spPr>
          </c:errBars>
          <c:yVal>
            <c:numRef>
              <c:f>(ADDITIONALS!$AE$21,ADDITIONALS!$AE$26,ADDITIONALS!$AE$31,ADDITIONALS!$AE$36,ADDITIONALS!$AE$41)</c:f>
              <c:numCache>
                <c:formatCode>0</c:formatCode>
                <c:ptCount val="5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  <c:pt idx="4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CBB-406D-8969-2E0FD5ECD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Swipe clicks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Swipe 3D</c:v>
          </c:tx>
          <c:errBars>
            <c:errDir val="y"/>
            <c:errBarType val="both"/>
            <c:errValType val="cust"/>
            <c:noEndCap val="0"/>
            <c:plus>
              <c:numRef>
                <c:f>(ADDITIONALS!$AK$8,ADDITIONALS!$AP$8,ADDITIONALS!$AU$8,ADDITIONALS!$AZ$8,ADDITIONALS!$BE$8)</c:f>
                <c:numCache>
                  <c:formatCode>General</c:formatCode>
                  <c:ptCount val="5"/>
                  <c:pt idx="0">
                    <c:v>0.93910441575375259</c:v>
                  </c:pt>
                  <c:pt idx="1">
                    <c:v>0.95188428423429039</c:v>
                  </c:pt>
                  <c:pt idx="2">
                    <c:v>0.93488361493563799</c:v>
                  </c:pt>
                  <c:pt idx="3">
                    <c:v>0.6865890479690393</c:v>
                  </c:pt>
                  <c:pt idx="4">
                    <c:v>0.7387467372439418</c:v>
                  </c:pt>
                </c:numCache>
              </c:numRef>
            </c:plus>
            <c:minus>
              <c:numRef>
                <c:f>(ADDITIONALS!$AK$8,ADDITIONALS!$AP$8,ADDITIONALS!$AU$8,ADDITIONALS!$AZ$8,ADDITIONALS!$BE$8)</c:f>
                <c:numCache>
                  <c:formatCode>General</c:formatCode>
                  <c:ptCount val="5"/>
                  <c:pt idx="0">
                    <c:v>0.93910441575375259</c:v>
                  </c:pt>
                  <c:pt idx="1">
                    <c:v>0.95188428423429039</c:v>
                  </c:pt>
                  <c:pt idx="2">
                    <c:v>0.93488361493563799</c:v>
                  </c:pt>
                  <c:pt idx="3">
                    <c:v>0.6865890479690393</c:v>
                  </c:pt>
                  <c:pt idx="4">
                    <c:v>0.7387467372439418</c:v>
                  </c:pt>
                </c:numCache>
              </c:numRef>
            </c:minus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yVal>
            <c:numRef>
              <c:f>(ADDITIONALS!$E$2,ADDITIONALS!$J$2,ADDITIONALS!$O$2,ADDITIONALS!$T$2,ADDITIONALS!$Y$2)</c:f>
              <c:numCache>
                <c:formatCode>0.00</c:formatCode>
                <c:ptCount val="5"/>
                <c:pt idx="0">
                  <c:v>4.4000000000000004</c:v>
                </c:pt>
                <c:pt idx="1">
                  <c:v>4.5999999999999996</c:v>
                </c:pt>
                <c:pt idx="2">
                  <c:v>6.2</c:v>
                </c:pt>
                <c:pt idx="3">
                  <c:v>3.6</c:v>
                </c:pt>
                <c:pt idx="4">
                  <c:v>5.4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65-438D-8A4A-98257753BAE7}"/>
            </c:ext>
          </c:extLst>
        </c:ser>
        <c:ser>
          <c:idx val="2"/>
          <c:order val="1"/>
          <c:tx>
            <c:v>Swipe 2D</c:v>
          </c:tx>
          <c:errBars>
            <c:errDir val="y"/>
            <c:errBarType val="both"/>
            <c:errValType val="cust"/>
            <c:noEndCap val="0"/>
            <c:plus>
              <c:numRef>
                <c:f>(ADDITIONALS!$AK$2,ADDITIONALS!$AP$2,ADDITIONALS!$AU$2,ADDITIONALS!$BE$2)</c:f>
                <c:numCache>
                  <c:formatCode>General</c:formatCode>
                  <c:ptCount val="4"/>
                  <c:pt idx="0">
                    <c:v>0.50492670327448441</c:v>
                  </c:pt>
                  <c:pt idx="1">
                    <c:v>0.44721359549995793</c:v>
                  </c:pt>
                  <c:pt idx="2">
                    <c:v>0.87455870416966164</c:v>
                  </c:pt>
                  <c:pt idx="3">
                    <c:v>0.63733972120980975</c:v>
                  </c:pt>
                </c:numCache>
              </c:numRef>
            </c:plus>
            <c:minus>
              <c:numRef>
                <c:f>(ADDITIONALS!$AK$2,ADDITIONALS!$AP$2,ADDITIONALS!$AU$2,ADDITIONALS!$BE$2)</c:f>
                <c:numCache>
                  <c:formatCode>General</c:formatCode>
                  <c:ptCount val="4"/>
                  <c:pt idx="0">
                    <c:v>0.50492670327448441</c:v>
                  </c:pt>
                  <c:pt idx="1">
                    <c:v>0.44721359549995793</c:v>
                  </c:pt>
                  <c:pt idx="2">
                    <c:v>0.87455870416966164</c:v>
                  </c:pt>
                  <c:pt idx="3">
                    <c:v>0.63733972120980975</c:v>
                  </c:pt>
                </c:numCache>
              </c:numRef>
            </c:minus>
            <c:spPr>
              <a:ln>
                <a:solidFill>
                  <a:schemeClr val="bg2">
                    <a:lumMod val="50000"/>
                  </a:schemeClr>
                </a:solidFill>
              </a:ln>
            </c:spPr>
          </c:errBars>
          <c:yVal>
            <c:numRef>
              <c:f>(ADDITIONALS!$E$8,ADDITIONALS!$J$8,ADDITIONALS!$O$8,ADDITIONALS!$T$8,ADDITIONALS!$Y$8)</c:f>
              <c:numCache>
                <c:formatCode>0.00</c:formatCode>
                <c:ptCount val="5"/>
                <c:pt idx="0">
                  <c:v>6.333333333333333</c:v>
                </c:pt>
                <c:pt idx="1">
                  <c:v>7.5555555555555554</c:v>
                </c:pt>
                <c:pt idx="2">
                  <c:v>6</c:v>
                </c:pt>
                <c:pt idx="3">
                  <c:v>5.666666666666667</c:v>
                </c:pt>
                <c:pt idx="4">
                  <c:v>5.8888888888888893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65-438D-8A4A-98257753BAE7}"/>
            </c:ext>
          </c:extLst>
        </c:ser>
        <c:ser>
          <c:idx val="0"/>
          <c:order val="2"/>
          <c:tx>
            <c:v>Reference</c:v>
          </c:tx>
          <c:spPr>
            <a:ln w="31750"/>
          </c:spPr>
          <c:yVal>
            <c:numRef>
              <c:f>(ADDITIONALS!$AD$21,ADDITIONALS!$AD$26,ADDITIONALS!$AD$31,ADDITIONALS!$AD$36,ADDITIONALS!$AD$41)</c:f>
              <c:numCache>
                <c:formatCode>0</c:formatCode>
                <c:ptCount val="5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65-438D-8A4A-98257753B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Click clicks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Click 3D</c:v>
          </c:tx>
          <c:marker>
            <c:spPr>
              <a:effectLst>
                <a:softEdge rad="0"/>
              </a:effectLst>
            </c:spPr>
          </c:marker>
          <c:errBars>
            <c:errDir val="y"/>
            <c:errBarType val="both"/>
            <c:errValType val="cust"/>
            <c:noEndCap val="0"/>
            <c:plus>
              <c:numRef>
                <c:f>(ADDITIONALS!$AK$5,ADDITIONALS!$AP$5,ADDITIONALS!$AU$5,ADDITIONALS!$AZ$5,ADDITIONALS!$BE$5)</c:f>
                <c:numCache>
                  <c:formatCode>General</c:formatCode>
                  <c:ptCount val="5"/>
                  <c:pt idx="0">
                    <c:v>0.71761198586899655</c:v>
                  </c:pt>
                  <c:pt idx="1">
                    <c:v>0.8154980507720514</c:v>
                  </c:pt>
                  <c:pt idx="2">
                    <c:v>1.0392898776254118</c:v>
                  </c:pt>
                  <c:pt idx="3">
                    <c:v>0.71761198586899644</c:v>
                  </c:pt>
                  <c:pt idx="4">
                    <c:v>0.86401371678851535</c:v>
                  </c:pt>
                </c:numCache>
              </c:numRef>
            </c:plus>
            <c:minus>
              <c:numRef>
                <c:f>(ADDITIONALS!$AK$5,ADDITIONALS!$AP$5,ADDITIONALS!$AU$5,ADDITIONALS!$AZ$5,ADDITIONALS!$BE$5)</c:f>
                <c:numCache>
                  <c:formatCode>General</c:formatCode>
                  <c:ptCount val="5"/>
                  <c:pt idx="0">
                    <c:v>0.71761198586899655</c:v>
                  </c:pt>
                  <c:pt idx="1">
                    <c:v>0.8154980507720514</c:v>
                  </c:pt>
                  <c:pt idx="2">
                    <c:v>1.0392898776254118</c:v>
                  </c:pt>
                  <c:pt idx="3">
                    <c:v>0.71761198586899644</c:v>
                  </c:pt>
                  <c:pt idx="4">
                    <c:v>0.86401371678851535</c:v>
                  </c:pt>
                </c:numCache>
              </c:numRef>
            </c:minus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yVal>
            <c:numRef>
              <c:f>(ADDITIONALS!$E$6,ADDITIONALS!$J$6,ADDITIONALS!$O$6,ADDITIONALS!$T$6,ADDITIONALS!$Y$6)</c:f>
              <c:numCache>
                <c:formatCode>0.00</c:formatCode>
                <c:ptCount val="5"/>
                <c:pt idx="0">
                  <c:v>6.25</c:v>
                </c:pt>
                <c:pt idx="1">
                  <c:v>7.666666666666667</c:v>
                </c:pt>
                <c:pt idx="2">
                  <c:v>5.666666666666667</c:v>
                </c:pt>
                <c:pt idx="3">
                  <c:v>5.666666666666667</c:v>
                </c:pt>
                <c:pt idx="4">
                  <c:v>7.083333333333333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E0-40B5-9B47-DE42D60D29BD}"/>
            </c:ext>
          </c:extLst>
        </c:ser>
        <c:ser>
          <c:idx val="3"/>
          <c:order val="1"/>
          <c:tx>
            <c:v>Click 2D</c:v>
          </c:tx>
          <c:errBars>
            <c:errDir val="y"/>
            <c:errBarType val="both"/>
            <c:errValType val="cust"/>
            <c:noEndCap val="0"/>
            <c:plus>
              <c:numRef>
                <c:f>(ADDITIONALS!$AK$11,ADDITIONALS!$AP$11,ADDITIONALS!$AU$11,ADDITIONALS!$AZ$11,ADDITIONALS!$BE$11)</c:f>
                <c:numCache>
                  <c:formatCode>General</c:formatCode>
                  <c:ptCount val="5"/>
                  <c:pt idx="0">
                    <c:v>1.0278661605596131</c:v>
                  </c:pt>
                  <c:pt idx="1">
                    <c:v>0.98578369221733342</c:v>
                  </c:pt>
                  <c:pt idx="2">
                    <c:v>1.1750192028849604</c:v>
                  </c:pt>
                  <c:pt idx="3">
                    <c:v>0.93985683833704725</c:v>
                  </c:pt>
                  <c:pt idx="4">
                    <c:v>0.74532687532533293</c:v>
                  </c:pt>
                </c:numCache>
              </c:numRef>
            </c:plus>
            <c:minus>
              <c:numRef>
                <c:f>(ADDITIONALS!$AK$11,ADDITIONALS!$AP$11,ADDITIONALS!$AU$11,ADDITIONALS!$AZ$11,ADDITIONALS!$BE$11)</c:f>
                <c:numCache>
                  <c:formatCode>General</c:formatCode>
                  <c:ptCount val="5"/>
                  <c:pt idx="0">
                    <c:v>1.0278661605596131</c:v>
                  </c:pt>
                  <c:pt idx="1">
                    <c:v>0.98578369221733342</c:v>
                  </c:pt>
                  <c:pt idx="2">
                    <c:v>1.1750192028849604</c:v>
                  </c:pt>
                  <c:pt idx="3">
                    <c:v>0.93985683833704725</c:v>
                  </c:pt>
                  <c:pt idx="4">
                    <c:v>0.74532687532533293</c:v>
                  </c:pt>
                </c:numCache>
              </c:numRef>
            </c:minus>
            <c:spPr>
              <a:ln>
                <a:solidFill>
                  <a:schemeClr val="accent4">
                    <a:lumMod val="75000"/>
                  </a:schemeClr>
                </a:solidFill>
              </a:ln>
            </c:spPr>
          </c:errBars>
          <c:yVal>
            <c:numRef>
              <c:f>(ADDITIONALS!$E$12,ADDITIONALS!$J$12,ADDITIONALS!$O$12,ADDITIONALS!$T$12,ADDITIONALS!$Y$12)</c:f>
              <c:numCache>
                <c:formatCode>0.00</c:formatCode>
                <c:ptCount val="5"/>
                <c:pt idx="0">
                  <c:v>6.625</c:v>
                </c:pt>
                <c:pt idx="1">
                  <c:v>9.125</c:v>
                </c:pt>
                <c:pt idx="2">
                  <c:v>6</c:v>
                </c:pt>
                <c:pt idx="3">
                  <c:v>6.125</c:v>
                </c:pt>
                <c:pt idx="4">
                  <c:v>7.375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E0-40B5-9B47-DE42D60D29BD}"/>
            </c:ext>
          </c:extLst>
        </c:ser>
        <c:ser>
          <c:idx val="0"/>
          <c:order val="2"/>
          <c:tx>
            <c:v>Reference</c:v>
          </c:tx>
          <c:spPr>
            <a:ln w="31750"/>
          </c:spPr>
          <c:errBars>
            <c:errDir val="y"/>
            <c:errBarType val="both"/>
            <c:errValType val="fixedVal"/>
            <c:noEndCap val="0"/>
            <c:val val="0"/>
            <c:spPr>
              <a:ln>
                <a:solidFill>
                  <a:schemeClr val="accent1">
                    <a:lumMod val="50000"/>
                  </a:schemeClr>
                </a:solidFill>
              </a:ln>
            </c:spPr>
          </c:errBars>
          <c:yVal>
            <c:numRef>
              <c:f>(ADDITIONALS!$AE$21,ADDITIONALS!$AE$26,ADDITIONALS!$AE$31,ADDITIONALS!$AE$36,ADDITIONALS!$AE$41)</c:f>
              <c:numCache>
                <c:formatCode>0</c:formatCode>
                <c:ptCount val="5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  <c:pt idx="4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E0-40B5-9B47-DE42D60D2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  <c:max val="14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Swipe clicks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Swipe 3D</c:v>
          </c:tx>
          <c:errBars>
            <c:errDir val="y"/>
            <c:errBarType val="both"/>
            <c:errValType val="cust"/>
            <c:noEndCap val="0"/>
            <c:plus>
              <c:numRef>
                <c:f>(ADDITIONALS!$AK$9,ADDITIONALS!$AP$9,ADDITIONALS!$AU$9,ADDITIONALS!$AZ$9,ADDITIONALS!$BE$9)</c:f>
                <c:numCache>
                  <c:formatCode>General</c:formatCode>
                  <c:ptCount val="5"/>
                  <c:pt idx="0">
                    <c:v>0.39640237166757369</c:v>
                  </c:pt>
                  <c:pt idx="1">
                    <c:v>0.85233981325336372</c:v>
                  </c:pt>
                  <c:pt idx="2">
                    <c:v>0.83499502320576513</c:v>
                  </c:pt>
                  <c:pt idx="3">
                    <c:v>0.50754360774594487</c:v>
                  </c:pt>
                  <c:pt idx="4">
                    <c:v>0.64041703123462623</c:v>
                  </c:pt>
                </c:numCache>
              </c:numRef>
            </c:plus>
            <c:minus>
              <c:numRef>
                <c:f>(ADDITIONALS!$AK$9,ADDITIONALS!$AP$9,ADDITIONALS!$AU$9,ADDITIONALS!$AZ$9,ADDITIONALS!$BF$9)</c:f>
                <c:numCache>
                  <c:formatCode>General</c:formatCode>
                  <c:ptCount val="5"/>
                  <c:pt idx="0">
                    <c:v>0.39640237166757369</c:v>
                  </c:pt>
                  <c:pt idx="1">
                    <c:v>0.85233981325336372</c:v>
                  </c:pt>
                  <c:pt idx="2">
                    <c:v>0.83499502320576513</c:v>
                  </c:pt>
                  <c:pt idx="3">
                    <c:v>0.50754360774594487</c:v>
                  </c:pt>
                </c:numCache>
              </c:numRef>
            </c:minus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yVal>
            <c:numRef>
              <c:f>(ADDITIONALS!$E$3,ADDITIONALS!$J$3,ADDITIONALS!$O$3,ADDITIONALS!$T$3,ADDITIONALS!$Y$3)</c:f>
              <c:numCache>
                <c:formatCode>0.00</c:formatCode>
                <c:ptCount val="5"/>
                <c:pt idx="0">
                  <c:v>3.6</c:v>
                </c:pt>
                <c:pt idx="1">
                  <c:v>5.2</c:v>
                </c:pt>
                <c:pt idx="2">
                  <c:v>3.6</c:v>
                </c:pt>
                <c:pt idx="3">
                  <c:v>3.6</c:v>
                </c:pt>
                <c:pt idx="4">
                  <c:v>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8F-47FE-95A9-24DF2D7FFCDF}"/>
            </c:ext>
          </c:extLst>
        </c:ser>
        <c:ser>
          <c:idx val="2"/>
          <c:order val="1"/>
          <c:tx>
            <c:v>Swipe 2D</c:v>
          </c:tx>
          <c:errBars>
            <c:errDir val="y"/>
            <c:errBarType val="both"/>
            <c:errValType val="cust"/>
            <c:noEndCap val="0"/>
            <c:plus>
              <c:numRef>
                <c:f>(ADDITIONALS!$AK$3,ADDITIONALS!$AP$3,ADDITIONALS!$AU$3,ADDITIONALS!$AZ$3,ADDITIONALS!$BE$3)</c:f>
                <c:numCache>
                  <c:formatCode>General</c:formatCode>
                  <c:ptCount val="5"/>
                  <c:pt idx="0">
                    <c:v>0.34996355115805833</c:v>
                  </c:pt>
                  <c:pt idx="1">
                    <c:v>0.49492320038397652</c:v>
                  </c:pt>
                  <c:pt idx="2">
                    <c:v>0.34996355115805833</c:v>
                  </c:pt>
                  <c:pt idx="3">
                    <c:v>0.44721359549995793</c:v>
                  </c:pt>
                  <c:pt idx="4">
                    <c:v>0.31622776601683794</c:v>
                  </c:pt>
                </c:numCache>
              </c:numRef>
            </c:plus>
            <c:minus>
              <c:numRef>
                <c:f>(ADDITIONALS!$AK$3,ADDITIONALS!$AP$3,ADDITIONALS!$AU$3,ADDITIONALS!$AZ$3,ADDITIONALS!$BE$3)</c:f>
                <c:numCache>
                  <c:formatCode>General</c:formatCode>
                  <c:ptCount val="5"/>
                  <c:pt idx="0">
                    <c:v>0.34996355115805833</c:v>
                  </c:pt>
                  <c:pt idx="1">
                    <c:v>0.49492320038397652</c:v>
                  </c:pt>
                  <c:pt idx="2">
                    <c:v>0.34996355115805833</c:v>
                  </c:pt>
                  <c:pt idx="3">
                    <c:v>0.44721359549995793</c:v>
                  </c:pt>
                  <c:pt idx="4">
                    <c:v>0.31622776601683794</c:v>
                  </c:pt>
                </c:numCache>
              </c:numRef>
            </c:minus>
            <c:spPr>
              <a:ln>
                <a:solidFill>
                  <a:schemeClr val="bg2">
                    <a:lumMod val="50000"/>
                  </a:schemeClr>
                </a:solidFill>
              </a:ln>
            </c:spPr>
          </c:errBars>
          <c:yVal>
            <c:numRef>
              <c:f>(ADDITIONALS!$E$9,ADDITIONALS!$J$9,ADDITIONALS!$O$9,ADDITIONALS!$T$9,ADDITIONALS!$Y$9)</c:f>
              <c:numCache>
                <c:formatCode>0.00</c:formatCode>
                <c:ptCount val="5"/>
                <c:pt idx="0">
                  <c:v>3.7777777777777777</c:v>
                </c:pt>
                <c:pt idx="1">
                  <c:v>6</c:v>
                </c:pt>
                <c:pt idx="2">
                  <c:v>5</c:v>
                </c:pt>
                <c:pt idx="3">
                  <c:v>3.7777777777777777</c:v>
                </c:pt>
                <c:pt idx="4">
                  <c:v>4.5555555555555554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8F-47FE-95A9-24DF2D7FFCDF}"/>
            </c:ext>
          </c:extLst>
        </c:ser>
        <c:ser>
          <c:idx val="0"/>
          <c:order val="2"/>
          <c:tx>
            <c:v>Reference</c:v>
          </c:tx>
          <c:spPr>
            <a:ln w="31750"/>
          </c:spPr>
          <c:yVal>
            <c:numRef>
              <c:f>(ADDITIONALS!$AD$21,ADDITIONALS!$AD$26,ADDITIONALS!$AD$31,ADDITIONALS!$AD$36,ADDITIONALS!$AD$41)</c:f>
              <c:numCache>
                <c:formatCode>0</c:formatCode>
                <c:ptCount val="5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8F-47FE-95A9-24DF2D7FF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  <c:max val="9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Swipe rotations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Swipe 3D</c:v>
          </c:tx>
          <c:errBars>
            <c:errDir val="y"/>
            <c:errBarType val="both"/>
            <c:errValType val="cust"/>
            <c:noEndCap val="0"/>
            <c:plus>
              <c:numRef>
                <c:f>(ADDITIONALS!$AJ$2,ADDITIONALS!$AO$2,ADDITIONALS!$AT$2,ADDITIONALS!$AY$2,ADDITIONALS!$BD$2)</c:f>
                <c:numCache>
                  <c:formatCode>General</c:formatCode>
                  <c:ptCount val="5"/>
                  <c:pt idx="0">
                    <c:v>0.34996355115805833</c:v>
                  </c:pt>
                  <c:pt idx="1">
                    <c:v>0.34996355115805833</c:v>
                  </c:pt>
                  <c:pt idx="2">
                    <c:v>0.61169088490625234</c:v>
                  </c:pt>
                  <c:pt idx="3">
                    <c:v>0.34996355115805833</c:v>
                  </c:pt>
                  <c:pt idx="4">
                    <c:v>0.60615465140298708</c:v>
                  </c:pt>
                </c:numCache>
              </c:numRef>
            </c:plus>
            <c:minus>
              <c:numRef>
                <c:f>(ADDITIONALS!$AJ$2,ADDITIONALS!$AO$2,ADDITIONALS!$AT$2,ADDITIONALS!$AY$2,ADDITIONALS!$BD$2)</c:f>
                <c:numCache>
                  <c:formatCode>General</c:formatCode>
                  <c:ptCount val="5"/>
                  <c:pt idx="0">
                    <c:v>0.34996355115805833</c:v>
                  </c:pt>
                  <c:pt idx="1">
                    <c:v>0.34996355115805833</c:v>
                  </c:pt>
                  <c:pt idx="2">
                    <c:v>0.61169088490625234</c:v>
                  </c:pt>
                  <c:pt idx="3">
                    <c:v>0.34996355115805833</c:v>
                  </c:pt>
                  <c:pt idx="4">
                    <c:v>0.60615465140298708</c:v>
                  </c:pt>
                </c:numCache>
              </c:numRef>
            </c:minus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yVal>
            <c:numRef>
              <c:f>(ADDITIONALS!$D$2,ADDITIONALS!$I$2,ADDITIONALS!$N$2,ADDITIONALS!$S$2,ADDITIONALS!$X$2)</c:f>
              <c:numCache>
                <c:formatCode>0.00</c:formatCode>
                <c:ptCount val="5"/>
                <c:pt idx="0">
                  <c:v>1.4</c:v>
                </c:pt>
                <c:pt idx="1">
                  <c:v>2.4</c:v>
                </c:pt>
                <c:pt idx="2">
                  <c:v>2.4</c:v>
                </c:pt>
                <c:pt idx="3">
                  <c:v>1.6</c:v>
                </c:pt>
                <c:pt idx="4">
                  <c:v>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F7-466A-81F2-ED6BC4F66BAF}"/>
            </c:ext>
          </c:extLst>
        </c:ser>
        <c:ser>
          <c:idx val="2"/>
          <c:order val="1"/>
          <c:tx>
            <c:v>Swipe 2D</c:v>
          </c:tx>
          <c:errBars>
            <c:errDir val="y"/>
            <c:errBarType val="both"/>
            <c:errValType val="cust"/>
            <c:noEndCap val="0"/>
            <c:plus>
              <c:numRef>
                <c:f>(ADDITIONALS!$AJ$8,ADDITIONALS!$AO$8,ADDITIONALS!$AT$8,ADDITIONALS!$AY$8,ADDITIONALS!$BD$8)</c:f>
                <c:numCache>
                  <c:formatCode>General</c:formatCode>
                  <c:ptCount val="5"/>
                  <c:pt idx="0">
                    <c:v>0.41380396603306474</c:v>
                  </c:pt>
                  <c:pt idx="1">
                    <c:v>0.46767771054944723</c:v>
                  </c:pt>
                  <c:pt idx="2">
                    <c:v>0.62519435376951837</c:v>
                  </c:pt>
                  <c:pt idx="3">
                    <c:v>0.48549177170732344</c:v>
                  </c:pt>
                  <c:pt idx="4">
                    <c:v>0.48549177170732338</c:v>
                  </c:pt>
                </c:numCache>
              </c:numRef>
            </c:plus>
            <c:minus>
              <c:numRef>
                <c:f>(ADDITIONALS!$AJ$8,ADDITIONALS!$AO$8,ADDITIONALS!$AT$8,ADDITIONALS!$AY$8,ADDITIONALS!$BD$8)</c:f>
                <c:numCache>
                  <c:formatCode>General</c:formatCode>
                  <c:ptCount val="5"/>
                  <c:pt idx="0">
                    <c:v>0.41380396603306474</c:v>
                  </c:pt>
                  <c:pt idx="1">
                    <c:v>0.46767771054944723</c:v>
                  </c:pt>
                  <c:pt idx="2">
                    <c:v>0.62519435376951837</c:v>
                  </c:pt>
                  <c:pt idx="3">
                    <c:v>0.48549177170732344</c:v>
                  </c:pt>
                  <c:pt idx="4">
                    <c:v>0.48549177170732338</c:v>
                  </c:pt>
                </c:numCache>
              </c:numRef>
            </c:minus>
            <c:spPr>
              <a:ln>
                <a:solidFill>
                  <a:schemeClr val="bg2">
                    <a:lumMod val="50000"/>
                  </a:schemeClr>
                </a:solidFill>
              </a:ln>
            </c:spPr>
          </c:errBars>
          <c:yVal>
            <c:numRef>
              <c:f>(ADDITIONALS!$D$8,ADDITIONALS!$I$8,ADDITIONALS!$N$8,ADDITIONALS!$S$8,ADDITIONALS!$X$8)</c:f>
              <c:numCache>
                <c:formatCode>0.00</c:formatCode>
                <c:ptCount val="5"/>
                <c:pt idx="0">
                  <c:v>1.4444444444444444</c:v>
                </c:pt>
                <c:pt idx="1">
                  <c:v>3.1111111111111112</c:v>
                </c:pt>
                <c:pt idx="2">
                  <c:v>1.6666666666666667</c:v>
                </c:pt>
                <c:pt idx="3">
                  <c:v>2</c:v>
                </c:pt>
                <c:pt idx="4">
                  <c:v>1.6666666666666667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F7-466A-81F2-ED6BC4F66BAF}"/>
            </c:ext>
          </c:extLst>
        </c:ser>
        <c:ser>
          <c:idx val="0"/>
          <c:order val="2"/>
          <c:tx>
            <c:v>Reference</c:v>
          </c:tx>
          <c:spPr>
            <a:ln w="31750"/>
          </c:spPr>
          <c:yVal>
            <c:numRef>
              <c:f>(ADDITIONALS!$AD$20,ADDITIONALS!$AD$25,ADDITIONALS!$AD$30,ADDITIONALS!$AD$35,ADDITIONALS!$AD$40)</c:f>
              <c:numCache>
                <c:formatCode>0</c:formatCode>
                <c:ptCount val="5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F7-466A-81F2-ED6BC4F66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Click rotations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Click 3D</c:v>
          </c:tx>
          <c:marker>
            <c:spPr>
              <a:effectLst>
                <a:softEdge rad="0"/>
              </a:effectLst>
            </c:spPr>
          </c:marker>
          <c:errBars>
            <c:errDir val="y"/>
            <c:errBarType val="both"/>
            <c:errValType val="cust"/>
            <c:noEndCap val="0"/>
            <c:plus>
              <c:numRef>
                <c:f>(ADDITIONALS!$AJ$11,ADDITIONALS!$AO$11,ADDITIONALS!$AT$11,ADDITIONALS!$AY$11,ADDITIONALS!$BD$11)</c:f>
                <c:numCache>
                  <c:formatCode>General</c:formatCode>
                  <c:ptCount val="5"/>
                  <c:pt idx="0">
                    <c:v>0.73814793093429742</c:v>
                  </c:pt>
                  <c:pt idx="1">
                    <c:v>0.52194940748246099</c:v>
                  </c:pt>
                  <c:pt idx="2">
                    <c:v>0.81146679510211395</c:v>
                  </c:pt>
                  <c:pt idx="3">
                    <c:v>0.65018625356673476</c:v>
                  </c:pt>
                  <c:pt idx="4">
                    <c:v>0.67133740357066252</c:v>
                  </c:pt>
                </c:numCache>
              </c:numRef>
            </c:plus>
            <c:minus>
              <c:numRef>
                <c:f>(ADDITIONALS!$AJ$11,ADDITIONALS!$AO$11,ADDITIONALS!$AT$11,ADDITIONALS!$AY$11,ADDITIONALS!$BD$11)</c:f>
                <c:numCache>
                  <c:formatCode>General</c:formatCode>
                  <c:ptCount val="5"/>
                  <c:pt idx="0">
                    <c:v>0.73814793093429742</c:v>
                  </c:pt>
                  <c:pt idx="1">
                    <c:v>0.52194940748246099</c:v>
                  </c:pt>
                  <c:pt idx="2">
                    <c:v>0.81146679510211395</c:v>
                  </c:pt>
                  <c:pt idx="3">
                    <c:v>0.65018625356673476</c:v>
                  </c:pt>
                  <c:pt idx="4">
                    <c:v>0.67133740357066252</c:v>
                  </c:pt>
                </c:numCache>
              </c:numRef>
            </c:minus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yVal>
            <c:numRef>
              <c:f>(ADDITIONALS!$D$5,ADDITIONALS!$I$5,ADDITIONALS!$N$5,ADDITIONALS!$S$5,ADDITIONALS!$X$5)</c:f>
              <c:numCache>
                <c:formatCode>0.00</c:formatCode>
                <c:ptCount val="5"/>
                <c:pt idx="0">
                  <c:v>3.3333333333333335</c:v>
                </c:pt>
                <c:pt idx="1">
                  <c:v>5.25</c:v>
                </c:pt>
                <c:pt idx="2">
                  <c:v>3.8333333333333335</c:v>
                </c:pt>
                <c:pt idx="3">
                  <c:v>3.0833333333333335</c:v>
                </c:pt>
                <c:pt idx="4">
                  <c:v>3.8333333333333335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39-4E9E-9A58-38CF5DB7D3E4}"/>
            </c:ext>
          </c:extLst>
        </c:ser>
        <c:ser>
          <c:idx val="3"/>
          <c:order val="1"/>
          <c:tx>
            <c:v>Click 2D</c:v>
          </c:tx>
          <c:errBars>
            <c:errDir val="y"/>
            <c:errBarType val="both"/>
            <c:errValType val="cust"/>
            <c:noEndCap val="0"/>
            <c:plus>
              <c:numRef>
                <c:f>(ADDITIONALS!$AJ$2,ADDITIONALS!$AO$2,ADDITIONALS!$AT$2,ADDITIONALS!$AY$2,ADDITIONALS!$BD$2)</c:f>
                <c:numCache>
                  <c:formatCode>General</c:formatCode>
                  <c:ptCount val="5"/>
                  <c:pt idx="0">
                    <c:v>0.34996355115805833</c:v>
                  </c:pt>
                  <c:pt idx="1">
                    <c:v>0.34996355115805833</c:v>
                  </c:pt>
                  <c:pt idx="2">
                    <c:v>0.61169088490625234</c:v>
                  </c:pt>
                  <c:pt idx="3">
                    <c:v>0.34996355115805833</c:v>
                  </c:pt>
                  <c:pt idx="4">
                    <c:v>0.60615465140298708</c:v>
                  </c:pt>
                </c:numCache>
              </c:numRef>
            </c:plus>
            <c:minus>
              <c:numRef>
                <c:f>(ADDITIONALS!$AJ$2,ADDITIONALS!$AO$2,ADDITIONALS!$AT$2,ADDITIONALS!$AY$2,ADDITIONALS!$BD$2)</c:f>
                <c:numCache>
                  <c:formatCode>General</c:formatCode>
                  <c:ptCount val="5"/>
                  <c:pt idx="0">
                    <c:v>0.34996355115805833</c:v>
                  </c:pt>
                  <c:pt idx="1">
                    <c:v>0.34996355115805833</c:v>
                  </c:pt>
                  <c:pt idx="2">
                    <c:v>0.61169088490625234</c:v>
                  </c:pt>
                  <c:pt idx="3">
                    <c:v>0.34996355115805833</c:v>
                  </c:pt>
                  <c:pt idx="4">
                    <c:v>0.60615465140298708</c:v>
                  </c:pt>
                </c:numCache>
              </c:numRef>
            </c:minus>
            <c:spPr>
              <a:ln>
                <a:solidFill>
                  <a:schemeClr val="accent4">
                    <a:lumMod val="75000"/>
                  </a:schemeClr>
                </a:solidFill>
              </a:ln>
            </c:spPr>
          </c:errBars>
          <c:yVal>
            <c:numRef>
              <c:f>(ADDITIONALS!$D$11,ADDITIONALS!$I$11,ADDITIONALS!$N$11,ADDITIONALS!$S$11,ADDITIONALS!$X$11)</c:f>
              <c:numCache>
                <c:formatCode>0.00</c:formatCode>
                <c:ptCount val="5"/>
                <c:pt idx="0">
                  <c:v>3.5</c:v>
                </c:pt>
                <c:pt idx="1">
                  <c:v>5.25</c:v>
                </c:pt>
                <c:pt idx="2">
                  <c:v>4.25</c:v>
                </c:pt>
                <c:pt idx="3">
                  <c:v>2.875</c:v>
                </c:pt>
                <c:pt idx="4">
                  <c:v>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39-4E9E-9A58-38CF5DB7D3E4}"/>
            </c:ext>
          </c:extLst>
        </c:ser>
        <c:ser>
          <c:idx val="0"/>
          <c:order val="2"/>
          <c:tx>
            <c:v>Reference</c:v>
          </c:tx>
          <c:spPr>
            <a:ln w="31750"/>
          </c:spPr>
          <c:errBars>
            <c:errDir val="y"/>
            <c:errBarType val="both"/>
            <c:errValType val="fixedVal"/>
            <c:noEndCap val="0"/>
            <c:val val="0"/>
            <c:spPr>
              <a:ln>
                <a:solidFill>
                  <a:schemeClr val="accent1">
                    <a:lumMod val="50000"/>
                  </a:schemeClr>
                </a:solidFill>
              </a:ln>
            </c:spPr>
          </c:errBars>
          <c:yVal>
            <c:numRef>
              <c:f>(ADDITIONALS!$AE$20,ADDITIONALS!$AE$25,ADDITIONALS!$AE$30,ADDITIONALS!$AE$35,ADDITIONALS!$AE$40)</c:f>
              <c:numCache>
                <c:formatCode>0</c:formatCode>
                <c:ptCount val="5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039-4E9E-9A58-38CF5DB7D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Swipe rotations 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Swipe 3D</c:v>
          </c:tx>
          <c:errBars>
            <c:errDir val="y"/>
            <c:errBarType val="both"/>
            <c:errValType val="cust"/>
            <c:noEndCap val="0"/>
            <c:plus>
              <c:numRef>
                <c:f>(ADDITIONALS!$AJ$2,ADDITIONALS!$AO$2,ADDITIONALS!$AT$2,ADDITIONALS!$AY$2,ADDITIONALS!$BD$2)</c:f>
                <c:numCache>
                  <c:formatCode>General</c:formatCode>
                  <c:ptCount val="5"/>
                  <c:pt idx="0">
                    <c:v>0.34996355115805833</c:v>
                  </c:pt>
                  <c:pt idx="1">
                    <c:v>0.34996355115805833</c:v>
                  </c:pt>
                  <c:pt idx="2">
                    <c:v>0.61169088490625234</c:v>
                  </c:pt>
                  <c:pt idx="3">
                    <c:v>0.34996355115805833</c:v>
                  </c:pt>
                  <c:pt idx="4">
                    <c:v>0.60615465140298708</c:v>
                  </c:pt>
                </c:numCache>
              </c:numRef>
            </c:plus>
            <c:minus>
              <c:numRef>
                <c:f>(ADDITIONALS!$AJ$2,ADDITIONALS!$AO$2,ADDITIONALS!$BG$1,ADDITIONALS!$BG$1,ADDITIONALS!$BG$1)</c:f>
                <c:numCache>
                  <c:formatCode>General</c:formatCode>
                  <c:ptCount val="5"/>
                  <c:pt idx="0">
                    <c:v>0.34996355115805833</c:v>
                  </c:pt>
                  <c:pt idx="1">
                    <c:v>0.34996355115805833</c:v>
                  </c:pt>
                </c:numCache>
              </c:numRef>
            </c:minus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yVal>
            <c:numRef>
              <c:f>(ADDITIONALS!$D$3,ADDITIONALS!$I$3,ADDITIONALS!$N$3,ADDITIONALS!$S$3,ADDITIONALS!$X$3)</c:f>
              <c:numCache>
                <c:formatCode>0.00</c:formatCode>
                <c:ptCount val="5"/>
                <c:pt idx="0">
                  <c:v>1</c:v>
                </c:pt>
                <c:pt idx="1">
                  <c:v>2.6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1C-4079-997D-E95F1FA61FB5}"/>
            </c:ext>
          </c:extLst>
        </c:ser>
        <c:ser>
          <c:idx val="2"/>
          <c:order val="1"/>
          <c:tx>
            <c:v>Swipe 2D</c:v>
          </c:tx>
          <c:errBars>
            <c:errDir val="y"/>
            <c:errBarType val="both"/>
            <c:errValType val="cust"/>
            <c:noEndCap val="0"/>
            <c:plus>
              <c:numRef>
                <c:f>(ADDITIONALS!$AJ$8,ADDITIONALS!$AO$8,ADDITIONALS!$AT$8,ADDITIONALS!$AY$8,ADDITIONALS!$BD$8)</c:f>
                <c:numCache>
                  <c:formatCode>General</c:formatCode>
                  <c:ptCount val="5"/>
                  <c:pt idx="0">
                    <c:v>0.41380396603306474</c:v>
                  </c:pt>
                  <c:pt idx="1">
                    <c:v>0.46767771054944723</c:v>
                  </c:pt>
                  <c:pt idx="2">
                    <c:v>0.62519435376951837</c:v>
                  </c:pt>
                  <c:pt idx="3">
                    <c:v>0.48549177170732344</c:v>
                  </c:pt>
                  <c:pt idx="4">
                    <c:v>0.48549177170732338</c:v>
                  </c:pt>
                </c:numCache>
              </c:numRef>
            </c:plus>
            <c:minus>
              <c:numRef>
                <c:f>(ADDITIONALS!$AJ$8,ADDITIONALS!$AO$8,ADDITIONALS!$BG$1,ADDITIONALS!$BG$1,ADDITIONALS!$BG$1)</c:f>
                <c:numCache>
                  <c:formatCode>General</c:formatCode>
                  <c:ptCount val="5"/>
                  <c:pt idx="0">
                    <c:v>0.41380396603306474</c:v>
                  </c:pt>
                  <c:pt idx="1">
                    <c:v>0.46767771054944723</c:v>
                  </c:pt>
                </c:numCache>
              </c:numRef>
            </c:minus>
            <c:spPr>
              <a:ln>
                <a:solidFill>
                  <a:schemeClr val="bg2">
                    <a:lumMod val="50000"/>
                  </a:schemeClr>
                </a:solidFill>
              </a:ln>
            </c:spPr>
          </c:errBars>
          <c:yVal>
            <c:numRef>
              <c:f>(ADDITIONALS!$D$9,ADDITIONALS!$I$9,ADDITIONALS!$N$9,ADDITIONALS!$S$9,ADDITIONALS!$X$9)</c:f>
              <c:numCache>
                <c:formatCode>0.00</c:formatCode>
                <c:ptCount val="5"/>
                <c:pt idx="0">
                  <c:v>1</c:v>
                </c:pt>
                <c:pt idx="1">
                  <c:v>2.2222222222222223</c:v>
                </c:pt>
                <c:pt idx="2">
                  <c:v>1.1111111111111112</c:v>
                </c:pt>
                <c:pt idx="3">
                  <c:v>1.1111111111111112</c:v>
                </c:pt>
                <c:pt idx="4">
                  <c:v>1.1111111111111112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1C-4079-997D-E95F1FA61FB5}"/>
            </c:ext>
          </c:extLst>
        </c:ser>
        <c:ser>
          <c:idx val="0"/>
          <c:order val="2"/>
          <c:tx>
            <c:v>Reference</c:v>
          </c:tx>
          <c:spPr>
            <a:ln w="31750"/>
          </c:spPr>
          <c:yVal>
            <c:numRef>
              <c:f>(ADDITIONALS!$AD$20,ADDITIONALS!$AD$25,ADDITIONALS!$AD$30,ADDITIONALS!$AD$35,ADDITIONALS!$AD$40)</c:f>
              <c:numCache>
                <c:formatCode>0</c:formatCode>
                <c:ptCount val="5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1C-4079-997D-E95F1FA61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Click rotations 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Click 3D</c:v>
          </c:tx>
          <c:marker>
            <c:spPr>
              <a:effectLst>
                <a:softEdge rad="0"/>
              </a:effectLst>
            </c:spPr>
          </c:marker>
          <c:errBars>
            <c:errDir val="y"/>
            <c:errBarType val="both"/>
            <c:errValType val="cust"/>
            <c:noEndCap val="0"/>
            <c:plus>
              <c:numRef>
                <c:f>(ADDITIONALS!$AJ$11,ADDITIONALS!$AO$11,ADDITIONALS!$AT$11,ADDITIONALS!$AY$11,ADDITIONALS!$BD$11)</c:f>
                <c:numCache>
                  <c:formatCode>General</c:formatCode>
                  <c:ptCount val="5"/>
                  <c:pt idx="0">
                    <c:v>0.73814793093429742</c:v>
                  </c:pt>
                  <c:pt idx="1">
                    <c:v>0.52194940748246099</c:v>
                  </c:pt>
                  <c:pt idx="2">
                    <c:v>0.81146679510211395</c:v>
                  </c:pt>
                  <c:pt idx="3">
                    <c:v>0.65018625356673476</c:v>
                  </c:pt>
                  <c:pt idx="4">
                    <c:v>0.67133740357066252</c:v>
                  </c:pt>
                </c:numCache>
              </c:numRef>
            </c:plus>
            <c:minus>
              <c:numRef>
                <c:f>(ADDITIONALS!$AJ$11,ADDITIONALS!$AO$11,ADDITIONALS!$AT$11,ADDITIONALS!$AY$11,ADDITIONALS!$BD$11)</c:f>
                <c:numCache>
                  <c:formatCode>General</c:formatCode>
                  <c:ptCount val="5"/>
                  <c:pt idx="0">
                    <c:v>0.73814793093429742</c:v>
                  </c:pt>
                  <c:pt idx="1">
                    <c:v>0.52194940748246099</c:v>
                  </c:pt>
                  <c:pt idx="2">
                    <c:v>0.81146679510211395</c:v>
                  </c:pt>
                  <c:pt idx="3">
                    <c:v>0.65018625356673476</c:v>
                  </c:pt>
                  <c:pt idx="4">
                    <c:v>0.67133740357066252</c:v>
                  </c:pt>
                </c:numCache>
              </c:numRef>
            </c:minus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yVal>
            <c:numRef>
              <c:f>(ADDITIONALS!$D$6,ADDITIONALS!$I$6,ADDITIONALS!$N$6,ADDITIONALS!$S$6,ADDITIONALS!$X$6)</c:f>
              <c:numCache>
                <c:formatCode>0.00</c:formatCode>
                <c:ptCount val="5"/>
                <c:pt idx="0">
                  <c:v>2.4166666666666665</c:v>
                </c:pt>
                <c:pt idx="1">
                  <c:v>4.166666666666667</c:v>
                </c:pt>
                <c:pt idx="2">
                  <c:v>1.8333333333333333</c:v>
                </c:pt>
                <c:pt idx="3">
                  <c:v>1.6666666666666667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33-4E0E-8166-AF29A3D18959}"/>
            </c:ext>
          </c:extLst>
        </c:ser>
        <c:ser>
          <c:idx val="3"/>
          <c:order val="1"/>
          <c:tx>
            <c:v>Click 2D</c:v>
          </c:tx>
          <c:errBars>
            <c:errDir val="y"/>
            <c:errBarType val="both"/>
            <c:errValType val="cust"/>
            <c:noEndCap val="0"/>
            <c:plus>
              <c:numRef>
                <c:f>(ADDITIONALS!$AJ$2,ADDITIONALS!$AO$2,ADDITIONALS!$AT$2,ADDITIONALS!$AY$2,ADDITIONALS!$BD$2)</c:f>
                <c:numCache>
                  <c:formatCode>General</c:formatCode>
                  <c:ptCount val="5"/>
                  <c:pt idx="0">
                    <c:v>0.34996355115805833</c:v>
                  </c:pt>
                  <c:pt idx="1">
                    <c:v>0.34996355115805833</c:v>
                  </c:pt>
                  <c:pt idx="2">
                    <c:v>0.61169088490625234</c:v>
                  </c:pt>
                  <c:pt idx="3">
                    <c:v>0.34996355115805833</c:v>
                  </c:pt>
                  <c:pt idx="4">
                    <c:v>0.60615465140298708</c:v>
                  </c:pt>
                </c:numCache>
              </c:numRef>
            </c:plus>
            <c:minus>
              <c:numRef>
                <c:f>(ADDITIONALS!$AJ$2,ADDITIONALS!$AO$2,ADDITIONALS!$AT$2,ADDITIONALS!$AY$2,ADDITIONALS!$BD$2)</c:f>
                <c:numCache>
                  <c:formatCode>General</c:formatCode>
                  <c:ptCount val="5"/>
                  <c:pt idx="0">
                    <c:v>0.34996355115805833</c:v>
                  </c:pt>
                  <c:pt idx="1">
                    <c:v>0.34996355115805833</c:v>
                  </c:pt>
                  <c:pt idx="2">
                    <c:v>0.61169088490625234</c:v>
                  </c:pt>
                  <c:pt idx="3">
                    <c:v>0.34996355115805833</c:v>
                  </c:pt>
                  <c:pt idx="4">
                    <c:v>0.60615465140298708</c:v>
                  </c:pt>
                </c:numCache>
              </c:numRef>
            </c:minus>
            <c:spPr>
              <a:ln>
                <a:solidFill>
                  <a:schemeClr val="accent4">
                    <a:lumMod val="75000"/>
                  </a:schemeClr>
                </a:solidFill>
              </a:ln>
            </c:spPr>
          </c:errBars>
          <c:yVal>
            <c:numRef>
              <c:f>(ADDITIONALS!$D$12,ADDITIONALS!$I$12,ADDITIONALS!$N$12,ADDITIONALS!$S$12,ADDITIONALS!$X$12)</c:f>
              <c:numCache>
                <c:formatCode>0.00</c:formatCode>
                <c:ptCount val="5"/>
                <c:pt idx="0">
                  <c:v>1.5</c:v>
                </c:pt>
                <c:pt idx="1">
                  <c:v>5</c:v>
                </c:pt>
                <c:pt idx="2">
                  <c:v>1.5</c:v>
                </c:pt>
                <c:pt idx="3">
                  <c:v>1.5</c:v>
                </c:pt>
                <c:pt idx="4">
                  <c:v>3.125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33-4E0E-8166-AF29A3D18959}"/>
            </c:ext>
          </c:extLst>
        </c:ser>
        <c:ser>
          <c:idx val="0"/>
          <c:order val="2"/>
          <c:tx>
            <c:v>Reference</c:v>
          </c:tx>
          <c:spPr>
            <a:ln w="31750"/>
          </c:spPr>
          <c:errBars>
            <c:errDir val="y"/>
            <c:errBarType val="both"/>
            <c:errValType val="fixedVal"/>
            <c:noEndCap val="0"/>
            <c:val val="0"/>
            <c:spPr>
              <a:ln>
                <a:solidFill>
                  <a:schemeClr val="accent1">
                    <a:lumMod val="50000"/>
                  </a:schemeClr>
                </a:solidFill>
              </a:ln>
            </c:spPr>
          </c:errBars>
          <c:yVal>
            <c:numRef>
              <c:f>(ADDITIONALS!$AE$20,ADDITIONALS!$AE$25,ADDITIONALS!$AE$30,ADDITIONALS!$AE$35,ADDITIONALS!$AE$40)</c:f>
              <c:numCache>
                <c:formatCode>0</c:formatCode>
                <c:ptCount val="5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33-4E0E-8166-AF29A3D189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relative/mean/absolute time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(RESULTS_DELTA!$C$3,RESULTS_DELTA!$H$3,RESULTS_DELTA!$M$3,RESULTS_DELTA!$R$3,RESULTS_DELTA!$W$3)</c:f>
              <c:numCache>
                <c:formatCode>0.00</c:formatCode>
                <c:ptCount val="5"/>
                <c:pt idx="0">
                  <c:v>10.680000000000001</c:v>
                </c:pt>
                <c:pt idx="1">
                  <c:v>7.51</c:v>
                </c:pt>
                <c:pt idx="2">
                  <c:v>6.8600000000000012</c:v>
                </c:pt>
                <c:pt idx="3">
                  <c:v>5.6280000000000001</c:v>
                </c:pt>
                <c:pt idx="4">
                  <c:v>5.4340000000000002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A6-4DB1-8B2E-DD9807D41D7A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(RESULTS_DELTA!$C$23,RESULTS_DELTA!$H$23,RESULTS_DELTA!$M$23,RESULTS_DELTA!$R$23,RESULTS_DELTA!$W$23)</c:f>
              <c:numCache>
                <c:formatCode>0.00</c:formatCode>
                <c:ptCount val="5"/>
                <c:pt idx="0">
                  <c:v>8.3258333333333336</c:v>
                </c:pt>
                <c:pt idx="1">
                  <c:v>12.538333333333334</c:v>
                </c:pt>
                <c:pt idx="2">
                  <c:v>9.4833333333333325</c:v>
                </c:pt>
                <c:pt idx="3">
                  <c:v>7.140833333333334</c:v>
                </c:pt>
                <c:pt idx="4">
                  <c:v>4.701666666666668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A6-4DB1-8B2E-DD9807D41D7A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(RESULTS_DELTA!$C$43,RESULTS_DELTA!$H$43,RESULTS_DELTA!$M$43,RESULTS_DELTA!$R$43,RESULTS_DELTA!$W$43)</c:f>
              <c:numCache>
                <c:formatCode>0.00</c:formatCode>
                <c:ptCount val="5"/>
                <c:pt idx="0">
                  <c:v>8.6288888888888877</c:v>
                </c:pt>
                <c:pt idx="1">
                  <c:v>8.4322222222222223</c:v>
                </c:pt>
                <c:pt idx="2">
                  <c:v>6.2688888888888892</c:v>
                </c:pt>
                <c:pt idx="3">
                  <c:v>6.8355555555555547</c:v>
                </c:pt>
                <c:pt idx="4">
                  <c:v>-3.1777777777777776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A6-4DB1-8B2E-DD9807D41D7A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fixedVal"/>
            <c:noEndCap val="0"/>
            <c:val val="5"/>
          </c:errBars>
          <c:val>
            <c:numRef>
              <c:f>(RESULTS_DELTA!$C$63,RESULTS_DELTA!$H$63,RESULTS_DELTA!$M$63,RESULTS_DELTA!$R$63,RESULTS_DELTA!$W$63)</c:f>
              <c:numCache>
                <c:formatCode>0.00</c:formatCode>
                <c:ptCount val="5"/>
                <c:pt idx="0">
                  <c:v>8.9150000000000009</c:v>
                </c:pt>
                <c:pt idx="1">
                  <c:v>8.6774999999999984</c:v>
                </c:pt>
                <c:pt idx="2">
                  <c:v>10.777500000000003</c:v>
                </c:pt>
                <c:pt idx="3">
                  <c:v>3.3587499999999988</c:v>
                </c:pt>
                <c:pt idx="4">
                  <c:v>7.9049999999999994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A6-4DB1-8B2E-DD9807D41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1021368"/>
        <c:axId val="691020384"/>
      </c:barChart>
      <c:catAx>
        <c:axId val="691021368"/>
        <c:scaling>
          <c:orientation val="minMax"/>
        </c:scaling>
        <c:delete val="0"/>
        <c:axPos val="b"/>
        <c:majorTickMark val="out"/>
        <c:minorTickMark val="none"/>
        <c:tickLblPos val="low"/>
        <c:crossAx val="691020384"/>
        <c:crossesAt val="0"/>
        <c:auto val="1"/>
        <c:lblAlgn val="ctr"/>
        <c:lblOffset val="100"/>
        <c:noMultiLvlLbl val="1"/>
      </c:catAx>
      <c:valAx>
        <c:axId val="69102038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213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relative/mean/think time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(RESULTS_DELTA!$E$3,RESULTS_DELTA!$J$3,RESULTS_DELTA!$O$3,RESULTS_DELTA!$T$3,RESULTS_DELTA!$Y$3)</c:f>
              <c:numCache>
                <c:formatCode>0.00</c:formatCode>
                <c:ptCount val="5"/>
                <c:pt idx="0">
                  <c:v>10.680000000000001</c:v>
                </c:pt>
                <c:pt idx="1">
                  <c:v>4.089999999999999</c:v>
                </c:pt>
                <c:pt idx="2">
                  <c:v>7.0699999999999985</c:v>
                </c:pt>
                <c:pt idx="3">
                  <c:v>2.3540000000000001</c:v>
                </c:pt>
                <c:pt idx="4">
                  <c:v>2.0240000000000009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76-4321-87EF-C9309D294B6F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(RESULTS_DELTA!$E$23,RESULTS_DELTA!$J$23,RESULTS_DELTA!$O$23,RESULTS_DELTA!$T$23,RESULTS_DELTA!$Y$23)</c:f>
              <c:numCache>
                <c:formatCode>0.00</c:formatCode>
                <c:ptCount val="5"/>
                <c:pt idx="0">
                  <c:v>8.09</c:v>
                </c:pt>
                <c:pt idx="1">
                  <c:v>8.8149999999999977</c:v>
                </c:pt>
                <c:pt idx="2">
                  <c:v>9.3324999999999996</c:v>
                </c:pt>
                <c:pt idx="3">
                  <c:v>4.8916666666666675</c:v>
                </c:pt>
                <c:pt idx="4">
                  <c:v>-0.18249999999999966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76-4321-87EF-C9309D294B6F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fixedVal"/>
            <c:noEndCap val="0"/>
            <c:val val="4"/>
          </c:errBars>
          <c:val>
            <c:numRef>
              <c:f>(RESULTS_DELTA!$E$43,RESULTS_DELTA!$J$43,RESULTS_DELTA!$O$43,RESULTS_DELTA!$T$43,RESULTS_DELTA!$Y$43)</c:f>
              <c:numCache>
                <c:formatCode>0.00</c:formatCode>
                <c:ptCount val="5"/>
                <c:pt idx="0">
                  <c:v>8.6466666666666683</c:v>
                </c:pt>
                <c:pt idx="1">
                  <c:v>3.8900000000000015</c:v>
                </c:pt>
                <c:pt idx="2">
                  <c:v>6.5044444444444469</c:v>
                </c:pt>
                <c:pt idx="3">
                  <c:v>5.0299999999999994</c:v>
                </c:pt>
                <c:pt idx="4">
                  <c:v>-5.5411111111111104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76-4321-87EF-C9309D294B6F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fixedVal"/>
            <c:noEndCap val="0"/>
            <c:val val="5"/>
          </c:errBars>
          <c:val>
            <c:numRef>
              <c:f>(RESULTS_DELTA!$E$63,RESULTS_DELTA!$J$63,RESULTS_DELTA!$O$63,RESULTS_DELTA!$T$63,RESULTS_DELTA!$Y$63)</c:f>
              <c:numCache>
                <c:formatCode>0.00</c:formatCode>
                <c:ptCount val="5"/>
                <c:pt idx="0">
                  <c:v>8.3762500000000006</c:v>
                </c:pt>
                <c:pt idx="1">
                  <c:v>5.5</c:v>
                </c:pt>
                <c:pt idx="2">
                  <c:v>10.095000000000001</c:v>
                </c:pt>
                <c:pt idx="3">
                  <c:v>1.1874999999999993</c:v>
                </c:pt>
                <c:pt idx="4">
                  <c:v>2.2962499999999988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76-4321-87EF-C9309D294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1022680"/>
        <c:axId val="691014480"/>
      </c:barChart>
      <c:catAx>
        <c:axId val="691022680"/>
        <c:scaling>
          <c:orientation val="minMax"/>
        </c:scaling>
        <c:delete val="0"/>
        <c:axPos val="b"/>
        <c:majorTickMark val="out"/>
        <c:minorTickMark val="none"/>
        <c:tickLblPos val="low"/>
        <c:crossAx val="691014480"/>
        <c:crossesAt val="0"/>
        <c:auto val="1"/>
        <c:lblAlgn val="ctr"/>
        <c:lblOffset val="100"/>
        <c:noMultiLvlLbl val="1"/>
      </c:catAx>
      <c:valAx>
        <c:axId val="691014480"/>
        <c:scaling>
          <c:orientation val="minMax"/>
          <c:min val="-10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226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relative/median/absolute time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(RESULTS_DELTA!$C$5,RESULTS_DELTA!$H$5,RESULTS_DELTA!$M$5,RESULTS_DELTA!$R$5,RESULTS_DELTA!$W$5)</c:f>
              <c:numCache>
                <c:formatCode>0.00</c:formatCode>
                <c:ptCount val="5"/>
                <c:pt idx="0">
                  <c:v>9.67</c:v>
                </c:pt>
                <c:pt idx="1">
                  <c:v>6.9700000000000006</c:v>
                </c:pt>
                <c:pt idx="2">
                  <c:v>1.8900000000000006</c:v>
                </c:pt>
                <c:pt idx="3">
                  <c:v>5.5499999999999989</c:v>
                </c:pt>
                <c:pt idx="4">
                  <c:v>2.6000000000000014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60-474B-A275-C13971A0CE13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(RESULTS_DELTA!$C$25,RESULTS_DELTA!$H$25,RESULTS_DELTA!$M$25,RESULTS_DELTA!$R$25,RESULTS_DELTA!$W$25)</c:f>
              <c:numCache>
                <c:formatCode>0.00</c:formatCode>
                <c:ptCount val="5"/>
                <c:pt idx="0">
                  <c:v>8.9400000000000013</c:v>
                </c:pt>
                <c:pt idx="1">
                  <c:v>8.4599999999999991</c:v>
                </c:pt>
                <c:pt idx="2">
                  <c:v>7.2249999999999961</c:v>
                </c:pt>
                <c:pt idx="3">
                  <c:v>6.4550000000000001</c:v>
                </c:pt>
                <c:pt idx="4">
                  <c:v>6.1350000000000016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60-474B-A275-C13971A0CE13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(RESULTS_DELTA!$C$45,RESULTS_DELTA!$H$45,RESULTS_DELTA!$M$45,RESULTS_DELTA!$R$45,RESULTS_DELTA!$W$45)</c:f>
              <c:numCache>
                <c:formatCode>0.00</c:formatCode>
                <c:ptCount val="5"/>
                <c:pt idx="0">
                  <c:v>7.2999999999999989</c:v>
                </c:pt>
                <c:pt idx="1">
                  <c:v>7.1700000000000017</c:v>
                </c:pt>
                <c:pt idx="2">
                  <c:v>1.360000000000003</c:v>
                </c:pt>
                <c:pt idx="3">
                  <c:v>4.3000000000000007</c:v>
                </c:pt>
                <c:pt idx="4">
                  <c:v>2.1799999999999997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60-474B-A275-C13971A0CE13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(RESULTS_DELTA!$C$65,RESULTS_DELTA!$H$65,RESULTS_DELTA!$M$65,RESULTS_DELTA!$R$65,RESULTS_DELTA!$W$65)</c:f>
              <c:numCache>
                <c:formatCode>0.00</c:formatCode>
                <c:ptCount val="5"/>
                <c:pt idx="0">
                  <c:v>8.31</c:v>
                </c:pt>
                <c:pt idx="1">
                  <c:v>7.1049999999999995</c:v>
                </c:pt>
                <c:pt idx="2">
                  <c:v>10.48</c:v>
                </c:pt>
                <c:pt idx="3">
                  <c:v>4.3499999999999988</c:v>
                </c:pt>
                <c:pt idx="4">
                  <c:v>9.1549999999999994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60-474B-A275-C13971A0C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1050560"/>
        <c:axId val="691052200"/>
      </c:barChart>
      <c:catAx>
        <c:axId val="691050560"/>
        <c:scaling>
          <c:orientation val="minMax"/>
        </c:scaling>
        <c:delete val="0"/>
        <c:axPos val="b"/>
        <c:majorTickMark val="out"/>
        <c:minorTickMark val="none"/>
        <c:tickLblPos val="low"/>
        <c:crossAx val="691052200"/>
        <c:crossesAt val="0"/>
        <c:auto val="1"/>
        <c:lblAlgn val="ctr"/>
        <c:lblOffset val="100"/>
        <c:noMultiLvlLbl val="1"/>
      </c:catAx>
      <c:valAx>
        <c:axId val="691052200"/>
        <c:scaling>
          <c:orientation val="minMax"/>
          <c:min val="-4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5056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relative/median/think time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(RESULTS_DELTA!$E$5,RESULTS_DELTA!$J$5,RESULTS_DELTA!$O$5,RESULTS_DELTA!$T$5,RESULTS_DELTA!$Y$5)</c:f>
              <c:numCache>
                <c:formatCode>0.00</c:formatCode>
                <c:ptCount val="5"/>
                <c:pt idx="0">
                  <c:v>9.66</c:v>
                </c:pt>
                <c:pt idx="1">
                  <c:v>3.4599999999999991</c:v>
                </c:pt>
                <c:pt idx="2">
                  <c:v>1.7800000000000011</c:v>
                </c:pt>
                <c:pt idx="3">
                  <c:v>0.97000000000000064</c:v>
                </c:pt>
                <c:pt idx="4">
                  <c:v>-1.6499999999999968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1D-494B-92E7-23E11AEFF007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(RESULTS_DELTA!$E$25,RESULTS_DELTA!$J$25,RESULTS_DELTA!$O$25,RESULTS_DELTA!$T$25,RESULTS_DELTA!$Y$25)</c:f>
              <c:numCache>
                <c:formatCode>0.00</c:formatCode>
                <c:ptCount val="5"/>
                <c:pt idx="0">
                  <c:v>8.9450000000000003</c:v>
                </c:pt>
                <c:pt idx="1">
                  <c:v>6.719999999999998</c:v>
                </c:pt>
                <c:pt idx="2">
                  <c:v>7.639999999999997</c:v>
                </c:pt>
                <c:pt idx="3">
                  <c:v>4.6700000000000008</c:v>
                </c:pt>
                <c:pt idx="4">
                  <c:v>0.43000000000000327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D-494B-92E7-23E11AEFF007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(RESULTS_DELTA!$E$45,RESULTS_DELTA!$J$45,RESULTS_DELTA!$O$45,RESULTS_DELTA!$T$45,RESULTS_DELTA!$Y$45)</c:f>
              <c:numCache>
                <c:formatCode>0.00</c:formatCode>
                <c:ptCount val="5"/>
                <c:pt idx="0">
                  <c:v>7.3099999999999987</c:v>
                </c:pt>
                <c:pt idx="1">
                  <c:v>5.2000000000000011</c:v>
                </c:pt>
                <c:pt idx="2">
                  <c:v>1.3700000000000045</c:v>
                </c:pt>
                <c:pt idx="3">
                  <c:v>2.76</c:v>
                </c:pt>
                <c:pt idx="4">
                  <c:v>1.9999999999999574E-2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D-494B-92E7-23E11AEFF007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(RESULTS_DELTA!$E$65,RESULTS_DELTA!$J$65,RESULTS_DELTA!$O$65,RESULTS_DELTA!$T$65,RESULTS_DELTA!$Y$65)</c:f>
              <c:numCache>
                <c:formatCode>0.00</c:formatCode>
                <c:ptCount val="5"/>
                <c:pt idx="0">
                  <c:v>8.3000000000000007</c:v>
                </c:pt>
                <c:pt idx="1">
                  <c:v>6.3850000000000016</c:v>
                </c:pt>
                <c:pt idx="2">
                  <c:v>9.8699999999999992</c:v>
                </c:pt>
                <c:pt idx="3">
                  <c:v>1.4749999999999988</c:v>
                </c:pt>
                <c:pt idx="4">
                  <c:v>4.2149999999999999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D-494B-92E7-23E11AEFF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1048592"/>
        <c:axId val="691054824"/>
      </c:barChart>
      <c:catAx>
        <c:axId val="691048592"/>
        <c:scaling>
          <c:orientation val="minMax"/>
        </c:scaling>
        <c:delete val="0"/>
        <c:axPos val="b"/>
        <c:majorTickMark val="out"/>
        <c:minorTickMark val="none"/>
        <c:tickLblPos val="low"/>
        <c:crossAx val="691054824"/>
        <c:crossesAt val="0"/>
        <c:auto val="1"/>
        <c:lblAlgn val="ctr"/>
        <c:lblOffset val="100"/>
        <c:noMultiLvlLbl val="1"/>
      </c:catAx>
      <c:valAx>
        <c:axId val="691054824"/>
        <c:scaling>
          <c:orientation val="minMax"/>
          <c:min val="-4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485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relative/mean/absolute time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(RESULTS_DELTA!$C$3,RESULTS_DELTA!$H$3,RESULTS_DELTA!$M$3,RESULTS_DELTA!$R$3,RESULTS_DELTA!$W$3)</c:f>
              <c:numCache>
                <c:formatCode>0.00</c:formatCode>
                <c:ptCount val="5"/>
                <c:pt idx="0">
                  <c:v>10.680000000000001</c:v>
                </c:pt>
                <c:pt idx="1">
                  <c:v>7.51</c:v>
                </c:pt>
                <c:pt idx="2">
                  <c:v>6.8600000000000012</c:v>
                </c:pt>
                <c:pt idx="3">
                  <c:v>5.6280000000000001</c:v>
                </c:pt>
                <c:pt idx="4">
                  <c:v>5.4340000000000002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CE-4A40-8F41-A14E537B2DB4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(RESULTS_DELTA!$C$23,RESULTS_DELTA!$H$23,RESULTS_DELTA!$M$23,RESULTS_DELTA!$R$23,RESULTS_DELTA!$W$23)</c:f>
              <c:numCache>
                <c:formatCode>0.00</c:formatCode>
                <c:ptCount val="5"/>
                <c:pt idx="0">
                  <c:v>8.3258333333333336</c:v>
                </c:pt>
                <c:pt idx="1">
                  <c:v>12.538333333333334</c:v>
                </c:pt>
                <c:pt idx="2">
                  <c:v>9.4833333333333325</c:v>
                </c:pt>
                <c:pt idx="3">
                  <c:v>7.140833333333334</c:v>
                </c:pt>
                <c:pt idx="4">
                  <c:v>4.701666666666668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CE-4A40-8F41-A14E537B2DB4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(RESULTS_DELTA!$C$43,RESULTS_DELTA!$H$43,RESULTS_DELTA!$M$43,RESULTS_DELTA!$R$43,RESULTS_DELTA!$W$43)</c:f>
              <c:numCache>
                <c:formatCode>0.00</c:formatCode>
                <c:ptCount val="5"/>
                <c:pt idx="0">
                  <c:v>8.6288888888888877</c:v>
                </c:pt>
                <c:pt idx="1">
                  <c:v>8.4322222222222223</c:v>
                </c:pt>
                <c:pt idx="2">
                  <c:v>6.2688888888888892</c:v>
                </c:pt>
                <c:pt idx="3">
                  <c:v>6.8355555555555547</c:v>
                </c:pt>
                <c:pt idx="4">
                  <c:v>-3.1777777777777776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4CE-4A40-8F41-A14E537B2DB4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fixedVal"/>
            <c:noEndCap val="0"/>
            <c:val val="5"/>
          </c:errBars>
          <c:val>
            <c:numRef>
              <c:f>(RESULTS_DELTA!$C$63,RESULTS_DELTA!$H$63,RESULTS_DELTA!$M$63,RESULTS_DELTA!$R$63,RESULTS_DELTA!$W$63)</c:f>
              <c:numCache>
                <c:formatCode>0.00</c:formatCode>
                <c:ptCount val="5"/>
                <c:pt idx="0">
                  <c:v>8.9150000000000009</c:v>
                </c:pt>
                <c:pt idx="1">
                  <c:v>8.6774999999999984</c:v>
                </c:pt>
                <c:pt idx="2">
                  <c:v>10.777500000000003</c:v>
                </c:pt>
                <c:pt idx="3">
                  <c:v>3.3587499999999988</c:v>
                </c:pt>
                <c:pt idx="4">
                  <c:v>7.9049999999999994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4CE-4A40-8F41-A14E537B2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1021368"/>
        <c:axId val="691020384"/>
      </c:barChart>
      <c:catAx>
        <c:axId val="691021368"/>
        <c:scaling>
          <c:orientation val="minMax"/>
        </c:scaling>
        <c:delete val="0"/>
        <c:axPos val="b"/>
        <c:majorTickMark val="out"/>
        <c:minorTickMark val="none"/>
        <c:tickLblPos val="low"/>
        <c:crossAx val="691020384"/>
        <c:crossesAt val="0"/>
        <c:auto val="1"/>
        <c:lblAlgn val="ctr"/>
        <c:lblOffset val="100"/>
        <c:noMultiLvlLbl val="1"/>
      </c:catAx>
      <c:valAx>
        <c:axId val="69102038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213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relative/mean/ball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(RESULTS_DELTA!$D$3,RESULTS_DELTA!$I$3,RESULTS_DELTA!$N$3,RESULTS_DELTA!$S$3,RESULTS_DELTA!$X$3)</c:f>
              <c:numCache>
                <c:formatCode>0.00</c:formatCode>
                <c:ptCount val="5"/>
                <c:pt idx="0">
                  <c:v>-8.8817841970012528E-17</c:v>
                </c:pt>
                <c:pt idx="1">
                  <c:v>3.4199999999999995</c:v>
                </c:pt>
                <c:pt idx="2">
                  <c:v>-0.2099999999999998</c:v>
                </c:pt>
                <c:pt idx="3">
                  <c:v>3.2740000000000009</c:v>
                </c:pt>
                <c:pt idx="4">
                  <c:v>3.4099999999999993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35-4893-AC19-431F6BB08C18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(RESULTS_DELTA!$D$23,RESULTS_DELTA!$I$23,RESULTS_DELTA!$N$23,RESULTS_DELTA!$S$23,RESULTS_DELTA!$X$23)</c:f>
              <c:numCache>
                <c:formatCode>0.00</c:formatCode>
                <c:ptCount val="5"/>
                <c:pt idx="0">
                  <c:v>4.1666666666666892E-3</c:v>
                </c:pt>
                <c:pt idx="1">
                  <c:v>3.7233333333333332</c:v>
                </c:pt>
                <c:pt idx="2">
                  <c:v>0.15083333333333368</c:v>
                </c:pt>
                <c:pt idx="3">
                  <c:v>2.249166666666667</c:v>
                </c:pt>
                <c:pt idx="4">
                  <c:v>4.8841666666666672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35-4893-AC19-431F6BB08C18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(RESULTS_DELTA!$D$43,RESULTS_DELTA!$I$43,RESULTS_DELTA!$N$43,RESULTS_DELTA!$S$43,RESULTS_DELTA!$X$43)</c:f>
              <c:numCache>
                <c:formatCode>0.00</c:formatCode>
                <c:ptCount val="5"/>
                <c:pt idx="0">
                  <c:v>-1.7777777777777795E-2</c:v>
                </c:pt>
                <c:pt idx="1">
                  <c:v>4.5422222222222217</c:v>
                </c:pt>
                <c:pt idx="2">
                  <c:v>-0.23555555555555566</c:v>
                </c:pt>
                <c:pt idx="3">
                  <c:v>1.8055555555555556</c:v>
                </c:pt>
                <c:pt idx="4">
                  <c:v>2.3633333333333333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35-4893-AC19-431F6BB08C18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(RESULTS_DELTA!$D$63,RESULTS_DELTA!$I$63,RESULTS_DELTA!$N$63,RESULTS_DELTA!$S$63,RESULTS_DELTA!$X$63)</c:f>
              <c:numCache>
                <c:formatCode>0.00</c:formatCode>
                <c:ptCount val="5"/>
                <c:pt idx="0">
                  <c:v>0.53875000000000006</c:v>
                </c:pt>
                <c:pt idx="1">
                  <c:v>3.1775000000000002</c:v>
                </c:pt>
                <c:pt idx="2">
                  <c:v>0.68250000000000011</c:v>
                </c:pt>
                <c:pt idx="3">
                  <c:v>2.1712499999999997</c:v>
                </c:pt>
                <c:pt idx="4">
                  <c:v>5.6087499999999988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435-4893-AC19-431F6BB08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13496"/>
        <c:axId val="691015792"/>
      </c:scatterChart>
      <c:valAx>
        <c:axId val="69101349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15792"/>
        <c:crossesAt val="-2"/>
        <c:crossBetween val="midCat"/>
        <c:majorUnit val="1"/>
      </c:valAx>
      <c:valAx>
        <c:axId val="69101579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1349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relative/mean/think time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(RESULTS_DELTA!$E$3,RESULTS_DELTA!$J$3,RESULTS_DELTA!$O$3,RESULTS_DELTA!$T$3,RESULTS_DELTA!$Y$3)</c:f>
              <c:numCache>
                <c:formatCode>0.00</c:formatCode>
                <c:ptCount val="5"/>
                <c:pt idx="0">
                  <c:v>10.680000000000001</c:v>
                </c:pt>
                <c:pt idx="1">
                  <c:v>4.089999999999999</c:v>
                </c:pt>
                <c:pt idx="2">
                  <c:v>7.0699999999999985</c:v>
                </c:pt>
                <c:pt idx="3">
                  <c:v>2.3540000000000001</c:v>
                </c:pt>
                <c:pt idx="4">
                  <c:v>2.0240000000000009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00-4E5C-AAE4-AAA639B0062F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(RESULTS_DELTA!$E$23,RESULTS_DELTA!$J$23,RESULTS_DELTA!$O$23,RESULTS_DELTA!$T$23,RESULTS_DELTA!$Y$23)</c:f>
              <c:numCache>
                <c:formatCode>0.00</c:formatCode>
                <c:ptCount val="5"/>
                <c:pt idx="0">
                  <c:v>8.09</c:v>
                </c:pt>
                <c:pt idx="1">
                  <c:v>8.8149999999999977</c:v>
                </c:pt>
                <c:pt idx="2">
                  <c:v>9.3324999999999996</c:v>
                </c:pt>
                <c:pt idx="3">
                  <c:v>4.8916666666666675</c:v>
                </c:pt>
                <c:pt idx="4">
                  <c:v>-0.18249999999999966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00-4E5C-AAE4-AAA639B0062F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fixedVal"/>
            <c:noEndCap val="0"/>
            <c:val val="4"/>
          </c:errBars>
          <c:val>
            <c:numRef>
              <c:f>(RESULTS_DELTA!$E$43,RESULTS_DELTA!$J$43,RESULTS_DELTA!$O$43,RESULTS_DELTA!$T$43,RESULTS_DELTA!$Y$43)</c:f>
              <c:numCache>
                <c:formatCode>0.00</c:formatCode>
                <c:ptCount val="5"/>
                <c:pt idx="0">
                  <c:v>8.6466666666666683</c:v>
                </c:pt>
                <c:pt idx="1">
                  <c:v>3.8900000000000015</c:v>
                </c:pt>
                <c:pt idx="2">
                  <c:v>6.5044444444444469</c:v>
                </c:pt>
                <c:pt idx="3">
                  <c:v>5.0299999999999994</c:v>
                </c:pt>
                <c:pt idx="4">
                  <c:v>-5.5411111111111104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00-4E5C-AAE4-AAA639B0062F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fixedVal"/>
            <c:noEndCap val="0"/>
            <c:val val="5"/>
          </c:errBars>
          <c:val>
            <c:numRef>
              <c:f>(RESULTS_DELTA!$E$63,RESULTS_DELTA!$J$63,RESULTS_DELTA!$O$63,RESULTS_DELTA!$T$63,RESULTS_DELTA!$Y$63)</c:f>
              <c:numCache>
                <c:formatCode>0.00</c:formatCode>
                <c:ptCount val="5"/>
                <c:pt idx="0">
                  <c:v>8.3762500000000006</c:v>
                </c:pt>
                <c:pt idx="1">
                  <c:v>5.5</c:v>
                </c:pt>
                <c:pt idx="2">
                  <c:v>10.095000000000001</c:v>
                </c:pt>
                <c:pt idx="3">
                  <c:v>1.1874999999999993</c:v>
                </c:pt>
                <c:pt idx="4">
                  <c:v>2.2962499999999988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00-4E5C-AAE4-AAA639B00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1022680"/>
        <c:axId val="691014480"/>
      </c:barChart>
      <c:catAx>
        <c:axId val="691022680"/>
        <c:scaling>
          <c:orientation val="minMax"/>
        </c:scaling>
        <c:delete val="0"/>
        <c:axPos val="b"/>
        <c:majorTickMark val="out"/>
        <c:minorTickMark val="none"/>
        <c:tickLblPos val="low"/>
        <c:crossAx val="691014480"/>
        <c:crossesAt val="0"/>
        <c:auto val="1"/>
        <c:lblAlgn val="ctr"/>
        <c:lblOffset val="100"/>
        <c:noMultiLvlLbl val="1"/>
      </c:catAx>
      <c:valAx>
        <c:axId val="691014480"/>
        <c:scaling>
          <c:orientation val="minMax"/>
          <c:min val="-10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226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relative/mean/ring rotations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cust"/>
            <c:noEndCap val="0"/>
            <c:plus>
              <c:numRef>
                <c:f>(RESULTS_DELTA!$F$11,RESULTS_DELTA!$K$11,RESULTS_DELTA!$P$11,RESULTS_DELTA!$U$11,RESULTS_DELTA!$Z$11)</c:f>
                <c:numCache>
                  <c:formatCode>General</c:formatCode>
                  <c:ptCount val="5"/>
                  <c:pt idx="0">
                    <c:v>0.69992710231611666</c:v>
                  </c:pt>
                  <c:pt idx="1">
                    <c:v>0.86506154541442215</c:v>
                  </c:pt>
                  <c:pt idx="2">
                    <c:v>1.2233817698125047</c:v>
                  </c:pt>
                  <c:pt idx="3">
                    <c:v>0.69992710231611666</c:v>
                  </c:pt>
                  <c:pt idx="4">
                    <c:v>1.2123093028059739</c:v>
                  </c:pt>
                </c:numCache>
              </c:numRef>
            </c:plus>
            <c:minus>
              <c:numRef>
                <c:f>(RESULTS_DELTA!$F$11,RESULTS_DELTA!$K$11,RESULTS_DELTA!$P$11,RESULTS_DELTA!$U$11,RESULTS_DELTA!$Z$11)</c:f>
                <c:numCache>
                  <c:formatCode>General</c:formatCode>
                  <c:ptCount val="5"/>
                  <c:pt idx="0">
                    <c:v>0.69992710231611666</c:v>
                  </c:pt>
                  <c:pt idx="1">
                    <c:v>0.86506154541442215</c:v>
                  </c:pt>
                  <c:pt idx="2">
                    <c:v>1.2233817698125047</c:v>
                  </c:pt>
                  <c:pt idx="3">
                    <c:v>0.69992710231611666</c:v>
                  </c:pt>
                  <c:pt idx="4">
                    <c:v>1.2123093028059739</c:v>
                  </c:pt>
                </c:numCache>
              </c:numRef>
            </c:minus>
          </c:errBars>
          <c:val>
            <c:numRef>
              <c:f>(RESULTS_DELTA!$F$3,RESULTS_DELTA!$K$3,RESULTS_DELTA!$P$3,RESULTS_DELTA!$U$3,RESULTS_DELTA!$Z$3)</c:f>
              <c:numCache>
                <c:formatCode>0.00</c:formatCode>
                <c:ptCount val="5"/>
                <c:pt idx="0">
                  <c:v>0.4</c:v>
                </c:pt>
                <c:pt idx="1">
                  <c:v>-0.2</c:v>
                </c:pt>
                <c:pt idx="2">
                  <c:v>1.4</c:v>
                </c:pt>
                <c:pt idx="3">
                  <c:v>0.6</c:v>
                </c:pt>
                <c:pt idx="4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71-490B-BEDC-617FDE417691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cust"/>
            <c:noEndCap val="0"/>
            <c:plus>
              <c:numRef>
                <c:f>(RESULTS_DELTA!$F$31,RESULTS_DELTA!$K$31,RESULTS_DELTA!$P$31,RESULTS_DELTA!$U$31,RESULTS_DELTA!$Z$31)</c:f>
                <c:numCache>
                  <c:formatCode>General</c:formatCode>
                  <c:ptCount val="5"/>
                  <c:pt idx="0">
                    <c:v>1.5591638862872852</c:v>
                  </c:pt>
                  <c:pt idx="1">
                    <c:v>1.864164668244781</c:v>
                  </c:pt>
                  <c:pt idx="2">
                    <c:v>1.9108855844087336</c:v>
                  </c:pt>
                  <c:pt idx="3">
                    <c:v>1.2669306835898793</c:v>
                  </c:pt>
                  <c:pt idx="4">
                    <c:v>1.6714791161443512</c:v>
                  </c:pt>
                </c:numCache>
              </c:numRef>
            </c:plus>
            <c:minus>
              <c:numRef>
                <c:f>(RESULTS_DELTA!$F$31,RESULTS_DELTA!$K$31,RESULTS_DELTA!$P$31,RESULTS_DELTA!$U$31,RESULTS_DELTA!$Z$31)</c:f>
                <c:numCache>
                  <c:formatCode>General</c:formatCode>
                  <c:ptCount val="5"/>
                  <c:pt idx="0">
                    <c:v>1.5591638862872852</c:v>
                  </c:pt>
                  <c:pt idx="1">
                    <c:v>1.864164668244781</c:v>
                  </c:pt>
                  <c:pt idx="2">
                    <c:v>1.9108855844087336</c:v>
                  </c:pt>
                  <c:pt idx="3">
                    <c:v>1.2669306835898793</c:v>
                  </c:pt>
                  <c:pt idx="4">
                    <c:v>1.6714791161443512</c:v>
                  </c:pt>
                </c:numCache>
              </c:numRef>
            </c:minus>
          </c:errBars>
          <c:val>
            <c:numRef>
              <c:f>(RESULTS_DELTA!$F$23,RESULTS_DELTA!$K$23,RESULTS_DELTA!$P$23,RESULTS_DELTA!$U$23,RESULTS_DELTA!$Z$23)</c:f>
              <c:numCache>
                <c:formatCode>0.00</c:formatCode>
                <c:ptCount val="5"/>
                <c:pt idx="0">
                  <c:v>0.91666666666666663</c:v>
                </c:pt>
                <c:pt idx="1">
                  <c:v>1.0833333333333333</c:v>
                </c:pt>
                <c:pt idx="2">
                  <c:v>2</c:v>
                </c:pt>
                <c:pt idx="3">
                  <c:v>1.4166666666666667</c:v>
                </c:pt>
                <c:pt idx="4">
                  <c:v>0.83333333333333337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71-490B-BEDC-617FDE417691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cust"/>
            <c:noEndCap val="0"/>
            <c:plus>
              <c:numRef>
                <c:f>(RESULTS_DELTA!$F$51,RESULTS_DELTA!$K$51,RESULTS_DELTA!$P$51,RESULTS_DELTA!$U$51,RESULTS_DELTA!$Z$51)</c:f>
                <c:numCache>
                  <c:formatCode>General</c:formatCode>
                  <c:ptCount val="5"/>
                  <c:pt idx="0">
                    <c:v>0.82760793206612948</c:v>
                  </c:pt>
                  <c:pt idx="1">
                    <c:v>0.99689918748081363</c:v>
                  </c:pt>
                  <c:pt idx="2">
                    <c:v>1.1211952203382862</c:v>
                  </c:pt>
                  <c:pt idx="3">
                    <c:v>0.93535542109889447</c:v>
                  </c:pt>
                  <c:pt idx="4">
                    <c:v>1.0323470048941576</c:v>
                  </c:pt>
                </c:numCache>
              </c:numRef>
            </c:plus>
            <c:minus>
              <c:numRef>
                <c:f>(RESULTS_DELTA!$F$51,RESULTS_DELTA!$K$51,RESULTS_DELTA!$P$51,RESULTS_DELTA!$U$51,RESULTS_DELTA!$Z$51)</c:f>
                <c:numCache>
                  <c:formatCode>General</c:formatCode>
                  <c:ptCount val="5"/>
                  <c:pt idx="0">
                    <c:v>0.82760793206612948</c:v>
                  </c:pt>
                  <c:pt idx="1">
                    <c:v>0.99689918748081363</c:v>
                  </c:pt>
                  <c:pt idx="2">
                    <c:v>1.1211952203382862</c:v>
                  </c:pt>
                  <c:pt idx="3">
                    <c:v>0.93535542109889447</c:v>
                  </c:pt>
                  <c:pt idx="4">
                    <c:v>1.0323470048941576</c:v>
                  </c:pt>
                </c:numCache>
              </c:numRef>
            </c:minus>
          </c:errBars>
          <c:val>
            <c:numRef>
              <c:f>(RESULTS_DELTA!$F$43,RESULTS_DELTA!$K$43,RESULTS_DELTA!$P$43,RESULTS_DELTA!$U$43,RESULTS_DELTA!$Z$43)</c:f>
              <c:numCache>
                <c:formatCode>0.00</c:formatCode>
                <c:ptCount val="5"/>
                <c:pt idx="0">
                  <c:v>0.44444444444444442</c:v>
                </c:pt>
                <c:pt idx="1">
                  <c:v>0.88888888888888884</c:v>
                </c:pt>
                <c:pt idx="2">
                  <c:v>0.55555555555555558</c:v>
                </c:pt>
                <c:pt idx="3">
                  <c:v>0.88888888888888884</c:v>
                </c:pt>
                <c:pt idx="4">
                  <c:v>0.55555555555555558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71-490B-BEDC-617FDE417691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cust"/>
            <c:noEndCap val="0"/>
            <c:plus>
              <c:numRef>
                <c:f>(RESULTS_DELTA!$F$71,RESULTS_DELTA!$K$71,RESULTS_DELTA!$P$71,RESULTS_DELTA!$U$71,RESULTS_DELTA!$Z$71)</c:f>
                <c:numCache>
                  <c:formatCode>General</c:formatCode>
                  <c:ptCount val="5"/>
                  <c:pt idx="0">
                    <c:v>1.4953487812212205</c:v>
                  </c:pt>
                  <c:pt idx="1">
                    <c:v>1.471415478191356</c:v>
                  </c:pt>
                  <c:pt idx="2">
                    <c:v>1.7754943123619469</c:v>
                  </c:pt>
                  <c:pt idx="3">
                    <c:v>1.1037886088835671</c:v>
                  </c:pt>
                  <c:pt idx="4">
                    <c:v>1.5474674496038687</c:v>
                  </c:pt>
                </c:numCache>
              </c:numRef>
            </c:plus>
            <c:minus>
              <c:numRef>
                <c:f>(RESULTS_DELTA!$F$71,RESULTS_DELTA!$K$71,RESULTS_DELTA!$P$71,RESULTS_DELTA!$U$71,RESULTS_DELTA!$Z$71)</c:f>
                <c:numCache>
                  <c:formatCode>General</c:formatCode>
                  <c:ptCount val="5"/>
                  <c:pt idx="0">
                    <c:v>1.4953487812212205</c:v>
                  </c:pt>
                  <c:pt idx="1">
                    <c:v>1.471415478191356</c:v>
                  </c:pt>
                  <c:pt idx="2">
                    <c:v>1.7754943123619469</c:v>
                  </c:pt>
                  <c:pt idx="3">
                    <c:v>1.1037886088835671</c:v>
                  </c:pt>
                  <c:pt idx="4">
                    <c:v>1.5474674496038687</c:v>
                  </c:pt>
                </c:numCache>
              </c:numRef>
            </c:minus>
          </c:errBars>
          <c:val>
            <c:numRef>
              <c:f>(RESULTS_DELTA!$F$63,RESULTS_DELTA!$K$63,RESULTS_DELTA!$P$63,RESULTS_DELTA!$U$63,RESULTS_DELTA!$Z$63)</c:f>
              <c:numCache>
                <c:formatCode>0.00</c:formatCode>
                <c:ptCount val="5"/>
                <c:pt idx="0">
                  <c:v>2</c:v>
                </c:pt>
                <c:pt idx="1">
                  <c:v>0.25</c:v>
                </c:pt>
                <c:pt idx="2">
                  <c:v>2.75</c:v>
                </c:pt>
                <c:pt idx="3">
                  <c:v>1.375</c:v>
                </c:pt>
                <c:pt idx="4">
                  <c:v>3.375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71-490B-BEDC-617FDE417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1023664"/>
        <c:axId val="691026288"/>
      </c:barChart>
      <c:catAx>
        <c:axId val="691023664"/>
        <c:scaling>
          <c:orientation val="minMax"/>
        </c:scaling>
        <c:delete val="0"/>
        <c:axPos val="b"/>
        <c:majorTickMark val="out"/>
        <c:minorTickMark val="none"/>
        <c:tickLblPos val="low"/>
        <c:crossAx val="691026288"/>
        <c:crossesAt val="0"/>
        <c:auto val="1"/>
        <c:lblAlgn val="ctr"/>
        <c:lblOffset val="100"/>
        <c:noMultiLvlLbl val="0"/>
      </c:catAx>
      <c:valAx>
        <c:axId val="691026288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236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relative/mean/screen touches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fixedVal"/>
            <c:noEndCap val="0"/>
            <c:val val="0.5"/>
            <c:spPr>
              <a:ln>
                <a:solidFill>
                  <a:schemeClr val="accent1">
                    <a:lumMod val="75000"/>
                  </a:schemeClr>
                </a:solidFill>
              </a:ln>
            </c:spPr>
          </c:errBars>
          <c:val>
            <c:numRef>
              <c:f>(RESULTS_DELTA!$G$3,RESULTS_DELTA!$L$3,RESULTS_DELTA!$Q$3,RESULTS_DELTA!$V$3,RESULTS_DELTA!$AA$3)</c:f>
              <c:numCache>
                <c:formatCode>0.00</c:formatCode>
                <c:ptCount val="5"/>
                <c:pt idx="0">
                  <c:v>0.8</c:v>
                </c:pt>
                <c:pt idx="1">
                  <c:v>-0.6</c:v>
                </c:pt>
                <c:pt idx="2">
                  <c:v>2.6</c:v>
                </c:pt>
                <c:pt idx="3">
                  <c:v>0</c:v>
                </c:pt>
                <c:pt idx="4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0A-4208-A14C-739C6944E8EE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fixedVal"/>
            <c:noEndCap val="0"/>
            <c:val val="0.5"/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val>
            <c:numRef>
              <c:f>(RESULTS_DELTA!$G$23,RESULTS_DELTA!$L$23,RESULTS_DELTA!$Q$23,RESULTS_DELTA!$V$23,RESULTS_DELTA!$AA$23)</c:f>
              <c:numCache>
                <c:formatCode>0.00</c:formatCode>
                <c:ptCount val="5"/>
                <c:pt idx="0">
                  <c:v>2.8333333333333335</c:v>
                </c:pt>
                <c:pt idx="1">
                  <c:v>1.9166666666666667</c:v>
                </c:pt>
                <c:pt idx="2">
                  <c:v>2.3333333333333335</c:v>
                </c:pt>
                <c:pt idx="3">
                  <c:v>1.25</c:v>
                </c:pt>
                <c:pt idx="4">
                  <c:v>1.4166666666666667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0A-4208-A14C-739C6944E8EE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fixedVal"/>
            <c:noEndCap val="0"/>
            <c:val val="0.5"/>
            <c:spPr>
              <a:ln>
                <a:solidFill>
                  <a:schemeClr val="accent3">
                    <a:lumMod val="75000"/>
                  </a:schemeClr>
                </a:solidFill>
              </a:ln>
            </c:spPr>
          </c:errBars>
          <c:val>
            <c:numRef>
              <c:f>(RESULTS_DELTA!$G$43,RESULTS_DELTA!$L$43,RESULTS_DELTA!$Q$43,RESULTS_DELTA!$V$43,RESULTS_DELTA!$AA$43)</c:f>
              <c:numCache>
                <c:formatCode>0.00</c:formatCode>
                <c:ptCount val="5"/>
                <c:pt idx="0">
                  <c:v>2.5555555555555554</c:v>
                </c:pt>
                <c:pt idx="1">
                  <c:v>1.5555555555555556</c:v>
                </c:pt>
                <c:pt idx="2">
                  <c:v>1</c:v>
                </c:pt>
                <c:pt idx="3">
                  <c:v>1.8888888888888888</c:v>
                </c:pt>
                <c:pt idx="4">
                  <c:v>1.3333333333333333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0A-4208-A14C-739C6944E8EE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fixedVal"/>
            <c:noEndCap val="0"/>
            <c:val val="1"/>
            <c:spPr>
              <a:ln>
                <a:solidFill>
                  <a:schemeClr val="accent4">
                    <a:lumMod val="75000"/>
                  </a:schemeClr>
                </a:solidFill>
              </a:ln>
            </c:spPr>
          </c:errBars>
          <c:val>
            <c:numRef>
              <c:f>(RESULTS_DELTA!$G$63,RESULTS_DELTA!$L$63,RESULTS_DELTA!$Q$63,RESULTS_DELTA!$V$63,RESULTS_DELTA!$AA$63)</c:f>
              <c:numCache>
                <c:formatCode>0.00</c:formatCode>
                <c:ptCount val="5"/>
                <c:pt idx="0">
                  <c:v>3.25</c:v>
                </c:pt>
                <c:pt idx="1">
                  <c:v>3</c:v>
                </c:pt>
                <c:pt idx="2">
                  <c:v>5.5</c:v>
                </c:pt>
                <c:pt idx="3">
                  <c:v>2.25</c:v>
                </c:pt>
                <c:pt idx="4">
                  <c:v>3.875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20A-4208-A14C-739C6944E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1031536"/>
        <c:axId val="691027600"/>
      </c:barChart>
      <c:catAx>
        <c:axId val="691031536"/>
        <c:scaling>
          <c:orientation val="minMax"/>
        </c:scaling>
        <c:delete val="0"/>
        <c:axPos val="b"/>
        <c:majorTickMark val="out"/>
        <c:minorTickMark val="none"/>
        <c:tickLblPos val="low"/>
        <c:crossAx val="691027600"/>
        <c:crossesAt val="0"/>
        <c:auto val="1"/>
        <c:lblAlgn val="ctr"/>
        <c:lblOffset val="100"/>
        <c:noMultiLvlLbl val="1"/>
      </c:catAx>
      <c:valAx>
        <c:axId val="691027600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315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relative/first_quart/absolute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(RESULTS_DELTA!$C$4,RESULTS_DELTA!$H$4,RESULTS_DELTA!$M$4,RESULTS_DELTA!$R$4,RESULTS_DELTA!$W$4)</c:f>
              <c:numCache>
                <c:formatCode>0.00</c:formatCode>
                <c:ptCount val="5"/>
                <c:pt idx="0">
                  <c:v>6.59</c:v>
                </c:pt>
                <c:pt idx="1">
                  <c:v>3.4699999999999989</c:v>
                </c:pt>
                <c:pt idx="2">
                  <c:v>1.6199999999999974</c:v>
                </c:pt>
                <c:pt idx="3">
                  <c:v>3.17</c:v>
                </c:pt>
                <c:pt idx="4">
                  <c:v>0.94000000000000128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29-40D9-9BC9-5B7CFA139358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(RESULTS_DELTA!$C$24,RESULTS_DELTA!$H$24,RESULTS_DELTA!$M$24,RESULTS_DELTA!$R$24,RESULTS_DELTA!$W$24)</c:f>
              <c:numCache>
                <c:formatCode>0.00</c:formatCode>
                <c:ptCount val="5"/>
                <c:pt idx="0">
                  <c:v>4.63</c:v>
                </c:pt>
                <c:pt idx="1">
                  <c:v>3.67</c:v>
                </c:pt>
                <c:pt idx="2">
                  <c:v>2.4649999999999999</c:v>
                </c:pt>
                <c:pt idx="3">
                  <c:v>5.835</c:v>
                </c:pt>
                <c:pt idx="4">
                  <c:v>-0.43000000000000149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29-40D9-9BC9-5B7CFA139358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(RESULTS_DELTA!$C$44,RESULTS_DELTA!$H$44,RESULTS_DELTA!$M$44,RESULTS_DELTA!$R$44,RESULTS_DELTA!$W$44)</c:f>
              <c:numCache>
                <c:formatCode>0.00</c:formatCode>
                <c:ptCount val="5"/>
                <c:pt idx="0">
                  <c:v>6.0200000000000014</c:v>
                </c:pt>
                <c:pt idx="1">
                  <c:v>5.23</c:v>
                </c:pt>
                <c:pt idx="2">
                  <c:v>-6.9000000000000021</c:v>
                </c:pt>
                <c:pt idx="3">
                  <c:v>3.9899999999999984</c:v>
                </c:pt>
                <c:pt idx="4">
                  <c:v>-4.33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229-40D9-9BC9-5B7CFA139358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(RESULTS_DELTA!$C$64,RESULTS_DELTA!$H$64,RESULTS_DELTA!$M$64,RESULTS_DELTA!$R$64,RESULTS_DELTA!$W$64)</c:f>
              <c:numCache>
                <c:formatCode>0.00</c:formatCode>
                <c:ptCount val="5"/>
                <c:pt idx="0">
                  <c:v>5.51</c:v>
                </c:pt>
                <c:pt idx="1">
                  <c:v>3.2849999999999993</c:v>
                </c:pt>
                <c:pt idx="2">
                  <c:v>7.5</c:v>
                </c:pt>
                <c:pt idx="3">
                  <c:v>-1.0849999999999991</c:v>
                </c:pt>
                <c:pt idx="4">
                  <c:v>2.2449999999999992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229-40D9-9BC9-5B7CFA1393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32192"/>
        <c:axId val="691031864"/>
      </c:scatterChart>
      <c:valAx>
        <c:axId val="691032192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31864"/>
        <c:crossesAt val="-10"/>
        <c:crossBetween val="midCat"/>
        <c:majorUnit val="1"/>
      </c:valAx>
      <c:valAx>
        <c:axId val="69103186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3219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relative/first_quart/ball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2"/>
          </c:errBars>
          <c:yVal>
            <c:numRef>
              <c:f>(RESULTS_DELTA!$D$4,RESULTS_DELTA!$I$4,RESULTS_DELTA!$N$4,RESULTS_DELTA!$S$4,RESULTS_DELTA!$X$4)</c:f>
              <c:numCache>
                <c:formatCode>0.00</c:formatCode>
                <c:ptCount val="5"/>
                <c:pt idx="0">
                  <c:v>-2.0000000000000018E-2</c:v>
                </c:pt>
                <c:pt idx="1">
                  <c:v>9.9999999999997868E-3</c:v>
                </c:pt>
                <c:pt idx="2">
                  <c:v>-1.1799999999999997</c:v>
                </c:pt>
                <c:pt idx="3">
                  <c:v>0</c:v>
                </c:pt>
                <c:pt idx="4">
                  <c:v>-3.9999999999999147E-2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1-486E-A60B-DFF988146557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(RESULTS_DELTA!$D$24,RESULTS_DELTA!$I$24,RESULTS_DELTA!$N$24,RESULTS_DELTA!$S$24,RESULTS_DELTA!$X$24)</c:f>
              <c:numCache>
                <c:formatCode>0.00</c:formatCode>
                <c:ptCount val="5"/>
                <c:pt idx="0">
                  <c:v>-1.5000000000000124E-2</c:v>
                </c:pt>
                <c:pt idx="1">
                  <c:v>-4.9999999999998934E-3</c:v>
                </c:pt>
                <c:pt idx="2">
                  <c:v>-1.2149999999999999</c:v>
                </c:pt>
                <c:pt idx="3">
                  <c:v>2.2204460492503131E-16</c:v>
                </c:pt>
                <c:pt idx="4">
                  <c:v>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1-486E-A60B-DFF988146557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(RESULTS_DELTA!$D$44,RESULTS_DELTA!$I$44,RESULTS_DELTA!$N$44,RESULTS_DELTA!$S$44,RESULTS_DELTA!$X$44)</c:f>
              <c:numCache>
                <c:formatCode>0.00</c:formatCode>
                <c:ptCount val="5"/>
                <c:pt idx="0">
                  <c:v>-4.0000000000000036E-2</c:v>
                </c:pt>
                <c:pt idx="1">
                  <c:v>-1.9999999999999574E-2</c:v>
                </c:pt>
                <c:pt idx="2">
                  <c:v>-1.2100000000000009</c:v>
                </c:pt>
                <c:pt idx="3">
                  <c:v>-2.0000000000000018E-2</c:v>
                </c:pt>
                <c:pt idx="4">
                  <c:v>9.9999999999997868E-3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1-486E-A60B-DFF988146557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(RESULTS_DELTA!$D$64,RESULTS_DELTA!$I$64,RESULTS_DELTA!$N$64,RESULTS_DELTA!$S$64,RESULTS_DELTA!$X$64)</c:f>
              <c:numCache>
                <c:formatCode>0.00</c:formatCode>
                <c:ptCount val="5"/>
                <c:pt idx="0">
                  <c:v>-2.0000000000000018E-2</c:v>
                </c:pt>
                <c:pt idx="1">
                  <c:v>-4.9999999999998934E-3</c:v>
                </c:pt>
                <c:pt idx="2">
                  <c:v>-1.2099999999999991</c:v>
                </c:pt>
                <c:pt idx="3">
                  <c:v>-2.9999999999999805E-2</c:v>
                </c:pt>
                <c:pt idx="4">
                  <c:v>2.1349999999999998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01-486E-A60B-DFF988146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33176"/>
        <c:axId val="691043344"/>
      </c:scatterChart>
      <c:valAx>
        <c:axId val="69103317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43344"/>
        <c:crossesAt val="-3"/>
        <c:crossBetween val="midCat"/>
        <c:majorUnit val="1"/>
      </c:valAx>
      <c:valAx>
        <c:axId val="69104334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3317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relative/first_quart/think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(RESULTS_DELTA!$E$4,RESULTS_DELTA!$J$4,RESULTS_DELTA!$O$4,RESULTS_DELTA!$T$4,RESULTS_DELTA!$Y$4)</c:f>
              <c:numCache>
                <c:formatCode>0.00</c:formatCode>
                <c:ptCount val="5"/>
                <c:pt idx="0">
                  <c:v>6.59</c:v>
                </c:pt>
                <c:pt idx="1">
                  <c:v>2.7600000000000016</c:v>
                </c:pt>
                <c:pt idx="2">
                  <c:v>1.6099999999999959</c:v>
                </c:pt>
                <c:pt idx="3">
                  <c:v>0.25999999999999979</c:v>
                </c:pt>
                <c:pt idx="4">
                  <c:v>-3.4799999999999969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9A-4F8F-B526-39F1DD2130CE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(RESULTS_DELTA!$E$24,RESULTS_DELTA!$J$24,RESULTS_DELTA!$O$24,RESULTS_DELTA!$T$24,RESULTS_DELTA!$Y$24)</c:f>
              <c:numCache>
                <c:formatCode>0.00</c:formatCode>
                <c:ptCount val="5"/>
                <c:pt idx="0">
                  <c:v>4.6250000000000009</c:v>
                </c:pt>
                <c:pt idx="1">
                  <c:v>0.10499999999999865</c:v>
                </c:pt>
                <c:pt idx="2">
                  <c:v>2.5050000000000008</c:v>
                </c:pt>
                <c:pt idx="3">
                  <c:v>2.6349999999999989</c:v>
                </c:pt>
                <c:pt idx="4">
                  <c:v>-4.3449999999999989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9A-4F8F-B526-39F1DD2130CE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(RESULTS_DELTA!$E$44,RESULTS_DELTA!$J$44,RESULTS_DELTA!$O$44,RESULTS_DELTA!$T$44,RESULTS_DELTA!$Y$44)</c:f>
              <c:numCache>
                <c:formatCode>0.00</c:formatCode>
                <c:ptCount val="5"/>
                <c:pt idx="0">
                  <c:v>6.0300000000000011</c:v>
                </c:pt>
                <c:pt idx="1">
                  <c:v>-5.4599999999999973</c:v>
                </c:pt>
                <c:pt idx="2">
                  <c:v>-6.9400000000000013</c:v>
                </c:pt>
                <c:pt idx="3">
                  <c:v>2.4599999999999991</c:v>
                </c:pt>
                <c:pt idx="4">
                  <c:v>-4.490000000000002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9A-4F8F-B526-39F1DD2130CE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(RESULTS_DELTA!$E$64,RESULTS_DELTA!$J$64,RESULTS_DELTA!$O$64,RESULTS_DELTA!$T$64,RESULTS_DELTA!$Y$64)</c:f>
              <c:numCache>
                <c:formatCode>0.00</c:formatCode>
                <c:ptCount val="5"/>
                <c:pt idx="0">
                  <c:v>5.5299999999999994</c:v>
                </c:pt>
                <c:pt idx="1">
                  <c:v>-0.69000000000000039</c:v>
                </c:pt>
                <c:pt idx="2">
                  <c:v>4.1449999999999996</c:v>
                </c:pt>
                <c:pt idx="3">
                  <c:v>-3.9850000000000003</c:v>
                </c:pt>
                <c:pt idx="4">
                  <c:v>-4.2100000000000017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59A-4F8F-B526-39F1DD213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37440"/>
        <c:axId val="691041376"/>
      </c:scatterChart>
      <c:valAx>
        <c:axId val="691037440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41376"/>
        <c:crossesAt val="-10"/>
        <c:crossBetween val="midCat"/>
        <c:majorUnit val="1"/>
      </c:valAx>
      <c:valAx>
        <c:axId val="691041376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3744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relative/first_quart/ring rotations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1"/>
          </c:errBars>
          <c:yVal>
            <c:numRef>
              <c:f>(RESULTS_DELTA!$F$4,RESULTS_DELTA!$K$4,RESULTS_DELTA!$P$4,RESULTS_DELTA!$U$4,RESULTS_DELTA!$Z$4)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BB-4767-8093-54FB9C84FB96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(RESULTS_DELTA!$F$24,RESULTS_DELTA!$K$24,RESULTS_DELTA!$P$24,RESULTS_DELTA!$U$24,RESULTS_DELTA!$Z$24)</c:f>
              <c:numCache>
                <c:formatCode>0.00</c:formatCode>
                <c:ptCount val="5"/>
                <c:pt idx="0">
                  <c:v>-1.5</c:v>
                </c:pt>
                <c:pt idx="1">
                  <c:v>0</c:v>
                </c:pt>
                <c:pt idx="2">
                  <c:v>-2</c:v>
                </c:pt>
                <c:pt idx="3">
                  <c:v>0</c:v>
                </c:pt>
                <c:pt idx="4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BB-4767-8093-54FB9C84FB96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(RESULTS_DELTA!$F$44,RESULTS_DELTA!$K$44,RESULTS_DELTA!$P$44,RESULTS_DELTA!$U$44,RESULTS_DELTA!$Z$44)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BB-4767-8093-54FB9C84FB96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(RESULTS_DELTA!$F$64,RESULTS_DELTA!$K$64,RESULTS_DELTA!$P$64,RESULTS_DELTA!$U$64,RESULTS_DELTA!$Z$64)</c:f>
              <c:numCache>
                <c:formatCode>0.00</c:formatCode>
                <c:ptCount val="5"/>
                <c:pt idx="0">
                  <c:v>0</c:v>
                </c:pt>
                <c:pt idx="1">
                  <c:v>-2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2BB-4767-8093-54FB9C84F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34816"/>
        <c:axId val="691041704"/>
      </c:scatterChart>
      <c:valAx>
        <c:axId val="69103481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41704"/>
        <c:crossesAt val="-3"/>
        <c:crossBetween val="midCat"/>
        <c:majorUnit val="1"/>
      </c:valAx>
      <c:valAx>
        <c:axId val="69104170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3481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relative/first_quart/screen touches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(RESULTS_DELTA!$G$4,RESULTS_DELTA!$L$4,RESULTS_DELTA!$Q$4,RESULTS_DELTA!$V$4,RESULTS_DELTA!$AA$4)</c:f>
              <c:numCache>
                <c:formatCode>0.00</c:formatCode>
                <c:ptCount val="5"/>
                <c:pt idx="0">
                  <c:v>-1</c:v>
                </c:pt>
                <c:pt idx="1">
                  <c:v>-2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B4-42E8-A6AC-36FF13D65EDC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(RESULTS_DELTA!$G$24,RESULTS_DELTA!$L$24,RESULTS_DELTA!$Q$24,RESULTS_DELTA!$V$24,RESULTS_DELTA!$AA$24)</c:f>
              <c:numCache>
                <c:formatCode>0.00</c:formatCode>
                <c:ptCount val="5"/>
                <c:pt idx="0">
                  <c:v>-1</c:v>
                </c:pt>
                <c:pt idx="1">
                  <c:v>0</c:v>
                </c:pt>
                <c:pt idx="2">
                  <c:v>-2</c:v>
                </c:pt>
                <c:pt idx="3">
                  <c:v>0</c:v>
                </c:pt>
                <c:pt idx="4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B4-42E8-A6AC-36FF13D65EDC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(RESULTS_DELTA!$G$44,RESULTS_DELTA!$L$44,RESULTS_DELTA!$Q$44,RESULTS_DELTA!$V$44,RESULTS_DELTA!$AA$44)</c:f>
              <c:numCache>
                <c:formatCode>0.00</c:formatCode>
                <c:ptCount val="5"/>
                <c:pt idx="0">
                  <c:v>-1</c:v>
                </c:pt>
                <c:pt idx="1">
                  <c:v>-1.5</c:v>
                </c:pt>
                <c:pt idx="2">
                  <c:v>-2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B4-42E8-A6AC-36FF13D65EDC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(RESULTS_DELTA!$G$64,RESULTS_DELTA!$L$64,RESULTS_DELTA!$Q$64,RESULTS_DELTA!$V$64,RESULTS_DELTA!$AA$64)</c:f>
              <c:numCache>
                <c:formatCode>0.00</c:formatCode>
                <c:ptCount val="5"/>
                <c:pt idx="0">
                  <c:v>-0.5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6B4-42E8-A6AC-36FF13D65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36784"/>
        <c:axId val="691053184"/>
      </c:scatterChart>
      <c:valAx>
        <c:axId val="691036784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53184"/>
        <c:crossesAt val="-3"/>
        <c:crossBetween val="midCat"/>
        <c:majorUnit val="1"/>
      </c:valAx>
      <c:valAx>
        <c:axId val="69105318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3678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relative/median/absolute time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(RESULTS_DELTA!$C$5,RESULTS_DELTA!$H$5,RESULTS_DELTA!$M$5,RESULTS_DELTA!$R$5,RESULTS_DELTA!$W$5)</c:f>
              <c:numCache>
                <c:formatCode>0.00</c:formatCode>
                <c:ptCount val="5"/>
                <c:pt idx="0">
                  <c:v>9.67</c:v>
                </c:pt>
                <c:pt idx="1">
                  <c:v>6.9700000000000006</c:v>
                </c:pt>
                <c:pt idx="2">
                  <c:v>1.8900000000000006</c:v>
                </c:pt>
                <c:pt idx="3">
                  <c:v>5.5499999999999989</c:v>
                </c:pt>
                <c:pt idx="4">
                  <c:v>2.6000000000000014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D1-40AF-B3DB-DA5400EDD1EA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(RESULTS_DELTA!$C$25,RESULTS_DELTA!$H$25,RESULTS_DELTA!$M$25,RESULTS_DELTA!$R$25,RESULTS_DELTA!$W$25)</c:f>
              <c:numCache>
                <c:formatCode>0.00</c:formatCode>
                <c:ptCount val="5"/>
                <c:pt idx="0">
                  <c:v>8.9400000000000013</c:v>
                </c:pt>
                <c:pt idx="1">
                  <c:v>8.4599999999999991</c:v>
                </c:pt>
                <c:pt idx="2">
                  <c:v>7.2249999999999961</c:v>
                </c:pt>
                <c:pt idx="3">
                  <c:v>6.4550000000000001</c:v>
                </c:pt>
                <c:pt idx="4">
                  <c:v>6.1350000000000016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D1-40AF-B3DB-DA5400EDD1EA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(RESULTS_DELTA!$C$45,RESULTS_DELTA!$H$45,RESULTS_DELTA!$M$45,RESULTS_DELTA!$R$45,RESULTS_DELTA!$W$45)</c:f>
              <c:numCache>
                <c:formatCode>0.00</c:formatCode>
                <c:ptCount val="5"/>
                <c:pt idx="0">
                  <c:v>7.2999999999999989</c:v>
                </c:pt>
                <c:pt idx="1">
                  <c:v>7.1700000000000017</c:v>
                </c:pt>
                <c:pt idx="2">
                  <c:v>1.360000000000003</c:v>
                </c:pt>
                <c:pt idx="3">
                  <c:v>4.3000000000000007</c:v>
                </c:pt>
                <c:pt idx="4">
                  <c:v>2.1799999999999997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D1-40AF-B3DB-DA5400EDD1EA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(RESULTS_DELTA!$C$65,RESULTS_DELTA!$H$65,RESULTS_DELTA!$M$65,RESULTS_DELTA!$R$65,RESULTS_DELTA!$W$65)</c:f>
              <c:numCache>
                <c:formatCode>0.00</c:formatCode>
                <c:ptCount val="5"/>
                <c:pt idx="0">
                  <c:v>8.31</c:v>
                </c:pt>
                <c:pt idx="1">
                  <c:v>7.1049999999999995</c:v>
                </c:pt>
                <c:pt idx="2">
                  <c:v>10.48</c:v>
                </c:pt>
                <c:pt idx="3">
                  <c:v>4.3499999999999988</c:v>
                </c:pt>
                <c:pt idx="4">
                  <c:v>9.1549999999999994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CD1-40AF-B3DB-DA5400EDD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1050560"/>
        <c:axId val="691052200"/>
      </c:barChart>
      <c:catAx>
        <c:axId val="691050560"/>
        <c:scaling>
          <c:orientation val="minMax"/>
        </c:scaling>
        <c:delete val="0"/>
        <c:axPos val="b"/>
        <c:majorTickMark val="out"/>
        <c:minorTickMark val="none"/>
        <c:tickLblPos val="low"/>
        <c:crossAx val="691052200"/>
        <c:crossesAt val="0"/>
        <c:auto val="1"/>
        <c:lblAlgn val="ctr"/>
        <c:lblOffset val="100"/>
        <c:noMultiLvlLbl val="1"/>
      </c:catAx>
      <c:valAx>
        <c:axId val="691052200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5056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relative/median/ball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(RESULTS_DELTA!$D$5,RESULTS_DELTA!$I$5,RESULTS_DELTA!$N$5,RESULTS_DELTA!$S$5,RESULTS_DELTA!$X$5)</c:f>
              <c:numCache>
                <c:formatCode>0.00</c:formatCode>
                <c:ptCount val="5"/>
                <c:pt idx="0">
                  <c:v>0</c:v>
                </c:pt>
                <c:pt idx="1">
                  <c:v>4.2099999999999991</c:v>
                </c:pt>
                <c:pt idx="2">
                  <c:v>-7.0000000000000284E-2</c:v>
                </c:pt>
                <c:pt idx="3">
                  <c:v>1.5499999999999998</c:v>
                </c:pt>
                <c:pt idx="4">
                  <c:v>-1.9999999999999574E-2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D4-4825-94A7-8A7327FB3FD5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(RESULTS_DELTA!$D$25,RESULTS_DELTA!$I$25,RESULTS_DELTA!$N$25,RESULTS_DELTA!$S$25,RESULTS_DELTA!$X$25)</c:f>
              <c:numCache>
                <c:formatCode>0.00</c:formatCode>
                <c:ptCount val="5"/>
                <c:pt idx="0">
                  <c:v>0</c:v>
                </c:pt>
                <c:pt idx="1">
                  <c:v>4.2699999999999996</c:v>
                </c:pt>
                <c:pt idx="2">
                  <c:v>-4.9999999999999822E-2</c:v>
                </c:pt>
                <c:pt idx="3">
                  <c:v>1.5649999999999999</c:v>
                </c:pt>
                <c:pt idx="4">
                  <c:v>5.3250000000000011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D4-4825-94A7-8A7327FB3FD5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(RESULTS_DELTA!$D$45,RESULTS_DELTA!$I$45,RESULTS_DELTA!$N$45,RESULTS_DELTA!$S$45,RESULTS_DELTA!$X$45)</c:f>
              <c:numCache>
                <c:formatCode>0.00</c:formatCode>
                <c:ptCount val="5"/>
                <c:pt idx="0">
                  <c:v>-1.0000000000000231E-2</c:v>
                </c:pt>
                <c:pt idx="1">
                  <c:v>4.2899999999999991</c:v>
                </c:pt>
                <c:pt idx="2">
                  <c:v>3.0000000000001137E-2</c:v>
                </c:pt>
                <c:pt idx="3">
                  <c:v>-9.9999999999997868E-3</c:v>
                </c:pt>
                <c:pt idx="4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7D4-4825-94A7-8A7327FB3FD5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(RESULTS_DELTA!$D$65,RESULTS_DELTA!$I$65,RESULTS_DELTA!$N$65,RESULTS_DELTA!$S$65,RESULTS_DELTA!$X$65)</c:f>
              <c:numCache>
                <c:formatCode>0.00</c:formatCode>
                <c:ptCount val="5"/>
                <c:pt idx="0">
                  <c:v>0</c:v>
                </c:pt>
                <c:pt idx="1">
                  <c:v>4.3250000000000011</c:v>
                </c:pt>
                <c:pt idx="2">
                  <c:v>-4.9999999999998934E-2</c:v>
                </c:pt>
                <c:pt idx="3">
                  <c:v>-2.2204460492503131E-16</c:v>
                </c:pt>
                <c:pt idx="4">
                  <c:v>4.26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D4-4825-94A7-8A7327FB3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44000"/>
        <c:axId val="691044984"/>
      </c:scatterChart>
      <c:valAx>
        <c:axId val="691044000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44984"/>
        <c:crossesAt val="-2"/>
        <c:crossBetween val="midCat"/>
        <c:majorUnit val="1"/>
      </c:valAx>
      <c:valAx>
        <c:axId val="69104498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4400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relative/median/think time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(RESULTS_DELTA!$E$5,RESULTS_DELTA!$J$5,RESULTS_DELTA!$O$5,RESULTS_DELTA!$T$5,RESULTS_DELTA!$Y$5)</c:f>
              <c:numCache>
                <c:formatCode>0.00</c:formatCode>
                <c:ptCount val="5"/>
                <c:pt idx="0">
                  <c:v>9.66</c:v>
                </c:pt>
                <c:pt idx="1">
                  <c:v>3.4599999999999991</c:v>
                </c:pt>
                <c:pt idx="2">
                  <c:v>1.7800000000000011</c:v>
                </c:pt>
                <c:pt idx="3">
                  <c:v>0.97000000000000064</c:v>
                </c:pt>
                <c:pt idx="4">
                  <c:v>-1.6499999999999968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1D-4ED3-8873-34EE4C406578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(RESULTS_DELTA!$E$25,RESULTS_DELTA!$J$25,RESULTS_DELTA!$O$25,RESULTS_DELTA!$T$25,RESULTS_DELTA!$Y$25)</c:f>
              <c:numCache>
                <c:formatCode>0.00</c:formatCode>
                <c:ptCount val="5"/>
                <c:pt idx="0">
                  <c:v>8.9450000000000003</c:v>
                </c:pt>
                <c:pt idx="1">
                  <c:v>6.719999999999998</c:v>
                </c:pt>
                <c:pt idx="2">
                  <c:v>7.639999999999997</c:v>
                </c:pt>
                <c:pt idx="3">
                  <c:v>4.6700000000000008</c:v>
                </c:pt>
                <c:pt idx="4">
                  <c:v>0.43000000000000327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1D-4ED3-8873-34EE4C406578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(RESULTS_DELTA!$E$45,RESULTS_DELTA!$J$45,RESULTS_DELTA!$O$45,RESULTS_DELTA!$T$45,RESULTS_DELTA!$Y$45)</c:f>
              <c:numCache>
                <c:formatCode>0.00</c:formatCode>
                <c:ptCount val="5"/>
                <c:pt idx="0">
                  <c:v>7.3099999999999987</c:v>
                </c:pt>
                <c:pt idx="1">
                  <c:v>5.2000000000000011</c:v>
                </c:pt>
                <c:pt idx="2">
                  <c:v>1.3700000000000045</c:v>
                </c:pt>
                <c:pt idx="3">
                  <c:v>2.76</c:v>
                </c:pt>
                <c:pt idx="4">
                  <c:v>1.9999999999999574E-2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1D-4ED3-8873-34EE4C406578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(RESULTS_DELTA!$E$65,RESULTS_DELTA!$J$65,RESULTS_DELTA!$O$65,RESULTS_DELTA!$T$65,RESULTS_DELTA!$Y$65)</c:f>
              <c:numCache>
                <c:formatCode>0.00</c:formatCode>
                <c:ptCount val="5"/>
                <c:pt idx="0">
                  <c:v>8.3000000000000007</c:v>
                </c:pt>
                <c:pt idx="1">
                  <c:v>6.3850000000000016</c:v>
                </c:pt>
                <c:pt idx="2">
                  <c:v>9.8699999999999992</c:v>
                </c:pt>
                <c:pt idx="3">
                  <c:v>1.4749999999999988</c:v>
                </c:pt>
                <c:pt idx="4">
                  <c:v>4.2149999999999999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1D-4ED3-8873-34EE4C406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1048592"/>
        <c:axId val="691054824"/>
      </c:barChart>
      <c:catAx>
        <c:axId val="691048592"/>
        <c:scaling>
          <c:orientation val="minMax"/>
        </c:scaling>
        <c:delete val="0"/>
        <c:axPos val="b"/>
        <c:majorTickMark val="out"/>
        <c:minorTickMark val="none"/>
        <c:tickLblPos val="low"/>
        <c:crossAx val="691054824"/>
        <c:crossesAt val="0"/>
        <c:auto val="1"/>
        <c:lblAlgn val="ctr"/>
        <c:lblOffset val="100"/>
        <c:noMultiLvlLbl val="1"/>
      </c:catAx>
      <c:valAx>
        <c:axId val="69105482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485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relative/median/ring rotations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2"/>
          </c:errBars>
          <c:yVal>
            <c:numRef>
              <c:f>(RESULTS_DELTA!$F$5,RESULTS_DELTA!$K$5,RESULTS_DELTA!$P$5,RESULTS_DELTA!$U$5,RESULTS_DELTA!$Z$5)</c:f>
              <c:numCache>
                <c:formatCode>0.00</c:formatCode>
                <c:ptCount val="5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30-4099-A6DB-251421C2F13F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(RESULTS_DELTA!$F$25,RESULTS_DELTA!$K$25,RESULTS_DELTA!$P$25,RESULTS_DELTA!$U$25,RESULTS_DELTA!$Z$25)</c:f>
              <c:numCache>
                <c:formatCode>0.00</c:formatCode>
                <c:ptCount val="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30-4099-A6DB-251421C2F13F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(RESULTS_DELTA!$F$45,RESULTS_DELTA!$K$45,RESULTS_DELTA!$P$45,RESULTS_DELTA!$U$45,RESULTS_DELTA!$Z$45)</c:f>
              <c:numCache>
                <c:formatCode>0.00</c:formatCode>
                <c:ptCount val="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30-4099-A6DB-251421C2F13F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(RESULTS_DELTA!$F$65,RESULTS_DELTA!$K$65,RESULTS_DELTA!$P$65,RESULTS_DELTA!$U$65,RESULTS_DELTA!$Z$65)</c:f>
              <c:numCache>
                <c:formatCode>0.00</c:formatCode>
                <c:ptCount val="5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1.5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30-4099-A6DB-251421C2F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64664"/>
        <c:axId val="691063024"/>
      </c:scatterChart>
      <c:valAx>
        <c:axId val="691064664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63024"/>
        <c:crossesAt val="-2"/>
        <c:crossBetween val="midCat"/>
        <c:majorUnit val="1"/>
      </c:valAx>
      <c:valAx>
        <c:axId val="69106302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6466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relative/median/screen touches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(RESULTS_DELTA!$G$5,RESULTS_DELTA!$L$5,RESULTS_DELTA!$Q$5,RESULTS_DELTA!$V$5,RESULTS_DELTA!$AA$5)</c:f>
              <c:numCache>
                <c:formatCode>0.00</c:formatCode>
                <c:ptCount val="5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58-4447-BE19-08A1BBCAA752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(RESULTS_DELTA!$G$25,RESULTS_DELTA!$L$25,RESULTS_DELTA!$Q$25,RESULTS_DELTA!$V$25,RESULTS_DELTA!$AA$25)</c:f>
              <c:numCache>
                <c:formatCode>0.00</c:formatCode>
                <c:ptCount val="5"/>
                <c:pt idx="0">
                  <c:v>4</c:v>
                </c:pt>
                <c:pt idx="1">
                  <c:v>2.5</c:v>
                </c:pt>
                <c:pt idx="2">
                  <c:v>1</c:v>
                </c:pt>
                <c:pt idx="3">
                  <c:v>1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58-4447-BE19-08A1BBCAA752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(RESULTS_DELTA!$G$45,RESULTS_DELTA!$L$45,RESULTS_DELTA!$Q$45,RESULTS_DELTA!$V$45,RESULTS_DELTA!$AA$45)</c:f>
              <c:numCache>
                <c:formatCode>0.00</c:formatCode>
                <c:ptCount val="5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58-4447-BE19-08A1BBCAA752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(RESULTS_DELTA!$G$65,RESULTS_DELTA!$L$65,RESULTS_DELTA!$Q$65,RESULTS_DELTA!$V$65,RESULTS_DELTA!$AA$65)</c:f>
              <c:numCache>
                <c:formatCode>0.00</c:formatCode>
                <c:ptCount val="5"/>
                <c:pt idx="0">
                  <c:v>3.5</c:v>
                </c:pt>
                <c:pt idx="1">
                  <c:v>1.5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358-4447-BE19-08A1BBCAA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59088"/>
        <c:axId val="691055808"/>
      </c:scatterChart>
      <c:valAx>
        <c:axId val="691059088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55808"/>
        <c:crossesAt val="-2"/>
        <c:crossBetween val="midCat"/>
        <c:majorUnit val="1"/>
      </c:valAx>
      <c:valAx>
        <c:axId val="691055808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5908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relative/third_quart/absolute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(RESULTS_DELTA!$C$6,RESULTS_DELTA!$H$6,RESULTS_DELTA!$M$6,RESULTS_DELTA!$R$6,RESULTS_DELTA!$W$6)</c:f>
              <c:numCache>
                <c:formatCode>0.00</c:formatCode>
                <c:ptCount val="5"/>
                <c:pt idx="0">
                  <c:v>12.22</c:v>
                </c:pt>
                <c:pt idx="1">
                  <c:v>8.5499999999999989</c:v>
                </c:pt>
                <c:pt idx="2">
                  <c:v>5.68</c:v>
                </c:pt>
                <c:pt idx="3">
                  <c:v>6.4700000000000006</c:v>
                </c:pt>
                <c:pt idx="4">
                  <c:v>6.83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AA-4EA5-81D6-16179625C836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(RESULTS_DELTA!$C$26,RESULTS_DELTA!$H$26,RESULTS_DELTA!$M$26,RESULTS_DELTA!$R$26,RESULTS_DELTA!$W$26)</c:f>
              <c:numCache>
                <c:formatCode>0.00</c:formatCode>
                <c:ptCount val="5"/>
                <c:pt idx="0">
                  <c:v>10.920000000000002</c:v>
                </c:pt>
                <c:pt idx="1">
                  <c:v>12.924999999999999</c:v>
                </c:pt>
                <c:pt idx="2">
                  <c:v>16.93</c:v>
                </c:pt>
                <c:pt idx="3">
                  <c:v>9.629999999999999</c:v>
                </c:pt>
                <c:pt idx="4">
                  <c:v>9.4050000000000011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DAA-4EA5-81D6-16179625C836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(RESULTS_DELTA!$C$46,RESULTS_DELTA!$H$46,RESULTS_DELTA!$M$46,RESULTS_DELTA!$R$46,RESULTS_DELTA!$W$46)</c:f>
              <c:numCache>
                <c:formatCode>0.00</c:formatCode>
                <c:ptCount val="5"/>
                <c:pt idx="0">
                  <c:v>9.64</c:v>
                </c:pt>
                <c:pt idx="1">
                  <c:v>13.504999999999999</c:v>
                </c:pt>
                <c:pt idx="2">
                  <c:v>8.0399999999999991</c:v>
                </c:pt>
                <c:pt idx="3">
                  <c:v>9.68</c:v>
                </c:pt>
                <c:pt idx="4">
                  <c:v>6.4199999999999982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DAA-4EA5-81D6-16179625C836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(RESULTS_DELTA!$C$66,RESULTS_DELTA!$H$66,RESULTS_DELTA!$M$66,RESULTS_DELTA!$R$66,RESULTS_DELTA!$W$66)</c:f>
              <c:numCache>
                <c:formatCode>0.00</c:formatCode>
                <c:ptCount val="5"/>
                <c:pt idx="0">
                  <c:v>10.5</c:v>
                </c:pt>
                <c:pt idx="1">
                  <c:v>14.580000000000002</c:v>
                </c:pt>
                <c:pt idx="2">
                  <c:v>15.255000000000003</c:v>
                </c:pt>
                <c:pt idx="3">
                  <c:v>7.089999999999999</c:v>
                </c:pt>
                <c:pt idx="4">
                  <c:v>17.59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DAA-4EA5-81D6-16179625C8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61712"/>
        <c:axId val="691073192"/>
      </c:scatterChart>
      <c:valAx>
        <c:axId val="691061712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73192"/>
        <c:crossesAt val="0"/>
        <c:crossBetween val="midCat"/>
        <c:majorUnit val="1"/>
      </c:valAx>
      <c:valAx>
        <c:axId val="69107319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6171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relative/third_quart/ball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(RESULTS_DELTA!$D$6,RESULTS_DELTA!$I$6,RESULTS_DELTA!$N$6,RESULTS_DELTA!$S$6,RESULTS_DELTA!$X$6)</c:f>
              <c:numCache>
                <c:formatCode>0.00</c:formatCode>
                <c:ptCount val="5"/>
                <c:pt idx="0">
                  <c:v>9.9999999999997868E-3</c:v>
                </c:pt>
                <c:pt idx="1">
                  <c:v>4.3</c:v>
                </c:pt>
                <c:pt idx="2">
                  <c:v>8.0000000000000071E-2</c:v>
                </c:pt>
                <c:pt idx="3">
                  <c:v>5.84</c:v>
                </c:pt>
                <c:pt idx="4">
                  <c:v>4.28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2D-43B0-A4D7-D438AE079A86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(RESULTS_DELTA!$D$26,RESULTS_DELTA!$I$26,RESULTS_DELTA!$N$26,RESULTS_DELTA!$S$26,RESULTS_DELTA!$X$26)</c:f>
              <c:numCache>
                <c:formatCode>0.00</c:formatCode>
                <c:ptCount val="5"/>
                <c:pt idx="0">
                  <c:v>3.0000000000000027E-2</c:v>
                </c:pt>
                <c:pt idx="1">
                  <c:v>5.34</c:v>
                </c:pt>
                <c:pt idx="2">
                  <c:v>0</c:v>
                </c:pt>
                <c:pt idx="3">
                  <c:v>5.2249999999999996</c:v>
                </c:pt>
                <c:pt idx="4">
                  <c:v>7.4850000000000012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2D-43B0-A4D7-D438AE079A86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(RESULTS_DELTA!$D$46,RESULTS_DELTA!$I$46,RESULTS_DELTA!$N$46,RESULTS_DELTA!$S$46,RESULTS_DELTA!$X$46)</c:f>
              <c:numCache>
                <c:formatCode>0.00</c:formatCode>
                <c:ptCount val="5"/>
                <c:pt idx="0">
                  <c:v>-4.9999999999998934E-3</c:v>
                </c:pt>
                <c:pt idx="1">
                  <c:v>4.3600000000000003</c:v>
                </c:pt>
                <c:pt idx="2">
                  <c:v>4.0000000000000924E-2</c:v>
                </c:pt>
                <c:pt idx="3">
                  <c:v>1.5299999999999994</c:v>
                </c:pt>
                <c:pt idx="4">
                  <c:v>4.22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2D-43B0-A4D7-D438AE079A86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(RESULTS_DELTA!$D$66,RESULTS_DELTA!$I$66,RESULTS_DELTA!$N$66,RESULTS_DELTA!$S$66,RESULTS_DELTA!$X$66)</c:f>
              <c:numCache>
                <c:formatCode>0.00</c:formatCode>
                <c:ptCount val="5"/>
                <c:pt idx="0">
                  <c:v>2.0000000000000018E-2</c:v>
                </c:pt>
                <c:pt idx="1">
                  <c:v>6.2599999999999989</c:v>
                </c:pt>
                <c:pt idx="2">
                  <c:v>3.9999999999999147E-2</c:v>
                </c:pt>
                <c:pt idx="3">
                  <c:v>5.8</c:v>
                </c:pt>
                <c:pt idx="4">
                  <c:v>9.245000000000001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2D-43B0-A4D7-D438AE079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74504"/>
        <c:axId val="691070896"/>
      </c:scatterChart>
      <c:valAx>
        <c:axId val="691074504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70896"/>
        <c:crossesAt val="-4"/>
        <c:crossBetween val="midCat"/>
        <c:majorUnit val="1"/>
      </c:valAx>
      <c:valAx>
        <c:axId val="691070896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7450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relative/third_quart/think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(RESULTS_DELTA!$E$6,RESULTS_DELTA!$J$6,RESULTS_DELTA!$O$6,RESULTS_DELTA!$T$6,RESULTS_DELTA!$Y$6)</c:f>
              <c:numCache>
                <c:formatCode>0.00</c:formatCode>
                <c:ptCount val="5"/>
                <c:pt idx="0">
                  <c:v>12.209999999999999</c:v>
                </c:pt>
                <c:pt idx="1">
                  <c:v>4.2399999999999984</c:v>
                </c:pt>
                <c:pt idx="2">
                  <c:v>5.6</c:v>
                </c:pt>
                <c:pt idx="3">
                  <c:v>4</c:v>
                </c:pt>
                <c:pt idx="4">
                  <c:v>6.8699999999999992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19-43C6-BE82-F86E93224B19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(RESULTS_DELTA!$E$26,RESULTS_DELTA!$J$26,RESULTS_DELTA!$O$26,RESULTS_DELTA!$T$26,RESULTS_DELTA!$Y$26)</c:f>
              <c:numCache>
                <c:formatCode>0.00</c:formatCode>
                <c:ptCount val="5"/>
                <c:pt idx="0">
                  <c:v>10.66</c:v>
                </c:pt>
                <c:pt idx="1">
                  <c:v>7.8100000000000005</c:v>
                </c:pt>
                <c:pt idx="2">
                  <c:v>18.084999999999997</c:v>
                </c:pt>
                <c:pt idx="3">
                  <c:v>6.3400000000000016</c:v>
                </c:pt>
                <c:pt idx="4">
                  <c:v>2.8249999999999975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19-43C6-BE82-F86E93224B19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5"/>
          </c:errBars>
          <c:yVal>
            <c:numRef>
              <c:f>(RESULTS_DELTA!$E$46,RESULTS_DELTA!$J$46,RESULTS_DELTA!$O$46,RESULTS_DELTA!$T$46,RESULTS_DELTA!$Y$46)</c:f>
              <c:numCache>
                <c:formatCode>0.00</c:formatCode>
                <c:ptCount val="5"/>
                <c:pt idx="0">
                  <c:v>9.6300000000000026</c:v>
                </c:pt>
                <c:pt idx="1">
                  <c:v>7.1900000000000013</c:v>
                </c:pt>
                <c:pt idx="2">
                  <c:v>7.9599999999999991</c:v>
                </c:pt>
                <c:pt idx="3">
                  <c:v>6.2299999999999986</c:v>
                </c:pt>
                <c:pt idx="4">
                  <c:v>3.66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19-43C6-BE82-F86E93224B19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5"/>
          </c:errBars>
          <c:yVal>
            <c:numRef>
              <c:f>(RESULTS_DELTA!$E$66,RESULTS_DELTA!$J$66,RESULTS_DELTA!$O$66,RESULTS_DELTA!$T$66,RESULTS_DELTA!$Y$66)</c:f>
              <c:numCache>
                <c:formatCode>0.00</c:formatCode>
                <c:ptCount val="5"/>
                <c:pt idx="0">
                  <c:v>10.489999999999998</c:v>
                </c:pt>
                <c:pt idx="1">
                  <c:v>12.379999999999999</c:v>
                </c:pt>
                <c:pt idx="2">
                  <c:v>15.850000000000005</c:v>
                </c:pt>
                <c:pt idx="3">
                  <c:v>5.7149999999999999</c:v>
                </c:pt>
                <c:pt idx="4">
                  <c:v>12.249999999999998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19-43C6-BE82-F86E93224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64992"/>
        <c:axId val="691065648"/>
      </c:scatterChart>
      <c:valAx>
        <c:axId val="691064992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65648"/>
        <c:crossesAt val="-5"/>
        <c:crossBetween val="midCat"/>
        <c:majorUnit val="1"/>
      </c:valAx>
      <c:valAx>
        <c:axId val="691065648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6499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relative/third_quart/ring rotations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(RESULTS_DELTA!$F$6,RESULTS_DELTA!$K$6,RESULTS_DELTA!$P$6,RESULTS_DELTA!$U$6,RESULTS_DELTA!$Z$6)</c:f>
              <c:numCache>
                <c:formatCode>0.00</c:formatCode>
                <c:ptCount val="5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96-4054-A04E-4A28189053F3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(RESULTS_DELTA!$F$26,RESULTS_DELTA!$K$26,RESULTS_DELTA!$P$26,RESULTS_DELTA!$U$26,RESULTS_DELTA!$Z$26)</c:f>
              <c:numCache>
                <c:formatCode>0.00</c:formatCode>
                <c:ptCount val="5"/>
                <c:pt idx="0">
                  <c:v>2</c:v>
                </c:pt>
                <c:pt idx="1">
                  <c:v>2.5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96-4054-A04E-4A28189053F3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(RESULTS_DELTA!$F$46,RESULTS_DELTA!$K$46,RESULTS_DELTA!$P$46,RESULTS_DELTA!$U$46,RESULTS_DELTA!$Z$46)</c:f>
              <c:numCache>
                <c:formatCode>0.00</c:formatCode>
                <c:ptCount val="5"/>
                <c:pt idx="0">
                  <c:v>1</c:v>
                </c:pt>
                <c:pt idx="1">
                  <c:v>2</c:v>
                </c:pt>
                <c:pt idx="2">
                  <c:v>2.5</c:v>
                </c:pt>
                <c:pt idx="3">
                  <c:v>1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96-4054-A04E-4A28189053F3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(RESULTS_DELTA!$F$66,RESULTS_DELTA!$K$66,RESULTS_DELTA!$P$66,RESULTS_DELTA!$U$66,RESULTS_DELTA!$Z$66)</c:f>
              <c:numCache>
                <c:formatCode>0.00</c:formatCode>
                <c:ptCount val="5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2.5</c:v>
                </c:pt>
                <c:pt idx="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596-4054-A04E-4A2818905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71224"/>
        <c:axId val="691075488"/>
      </c:scatterChart>
      <c:valAx>
        <c:axId val="691071224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75488"/>
        <c:crossesAt val="-1"/>
        <c:crossBetween val="midCat"/>
        <c:majorUnit val="1"/>
      </c:valAx>
      <c:valAx>
        <c:axId val="691075488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7122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relative/third_quart/screen touches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(RESULTS_DELTA!$G$6,RESULTS_DELTA!$L$6,RESULTS_DELTA!$Q$6,RESULTS_DELTA!$V$6,RESULTS_DELTA!$AA$6)</c:f>
              <c:numCache>
                <c:formatCode>0.00</c:formatCod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FF-41A1-9C83-50E44D1E499A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(RESULTS_DELTA!$G$26,RESULTS_DELTA!$L$26,RESULTS_DELTA!$Q$26,RESULTS_DELTA!$V$26,RESULTS_DELTA!$AA$26)</c:f>
              <c:numCache>
                <c:formatCode>0.00</c:formatCode>
                <c:ptCount val="5"/>
                <c:pt idx="0">
                  <c:v>5</c:v>
                </c:pt>
                <c:pt idx="1">
                  <c:v>4.5</c:v>
                </c:pt>
                <c:pt idx="2">
                  <c:v>5</c:v>
                </c:pt>
                <c:pt idx="3">
                  <c:v>2</c:v>
                </c:pt>
                <c:pt idx="4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FF-41A1-9C83-50E44D1E499A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(RESULTS_DELTA!$G$46,RESULTS_DELTA!$L$46,RESULTS_DELTA!$Q$46,RESULTS_DELTA!$V$46,RESULTS_DELTA!$AA$46)</c:f>
              <c:numCache>
                <c:formatCode>0.00</c:formatCode>
                <c:ptCount val="5"/>
                <c:pt idx="0">
                  <c:v>3</c:v>
                </c:pt>
                <c:pt idx="1">
                  <c:v>6</c:v>
                </c:pt>
                <c:pt idx="2">
                  <c:v>1</c:v>
                </c:pt>
                <c:pt idx="3">
                  <c:v>3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FF-41A1-9C83-50E44D1E499A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(RESULTS_DELTA!$G$66,RESULTS_DELTA!$L$66,RESULTS_DELTA!$Q$66,RESULTS_DELTA!$V$66,RESULTS_DELTA!$AA$66)</c:f>
              <c:numCache>
                <c:formatCode>0.00</c:formatCode>
                <c:ptCount val="5"/>
                <c:pt idx="0">
                  <c:v>6.5</c:v>
                </c:pt>
                <c:pt idx="1">
                  <c:v>4.5</c:v>
                </c:pt>
                <c:pt idx="2">
                  <c:v>11.5</c:v>
                </c:pt>
                <c:pt idx="3">
                  <c:v>5</c:v>
                </c:pt>
                <c:pt idx="4">
                  <c:v>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FF-41A1-9C83-50E44D1E4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82704"/>
        <c:axId val="691083032"/>
      </c:scatterChart>
      <c:valAx>
        <c:axId val="691082704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83032"/>
        <c:crossesAt val="0"/>
        <c:crossBetween val="midCat"/>
        <c:majorUnit val="1"/>
      </c:valAx>
      <c:valAx>
        <c:axId val="69108303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8270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relative/range/absolute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(RESULTS_DELTA!$C$7,RESULTS_DELTA!$H$7,RESULTS_DELTA!$M$7,RESULTS_DELTA!$R$7,RESULTS_DELTA!$W$7)</c:f>
              <c:numCache>
                <c:formatCode>0.00</c:formatCode>
                <c:ptCount val="5"/>
                <c:pt idx="0">
                  <c:v>6.5700000000000021</c:v>
                </c:pt>
                <c:pt idx="1">
                  <c:v>6.65</c:v>
                </c:pt>
                <c:pt idx="2">
                  <c:v>18.920000000000005</c:v>
                </c:pt>
                <c:pt idx="3">
                  <c:v>3.6400000000000006</c:v>
                </c:pt>
                <c:pt idx="4">
                  <c:v>10.759999999999998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56-4A94-AB75-A96973A249CF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(RESULTS_DELTA!$C$27,RESULTS_DELTA!$H$27,RESULTS_DELTA!$M$27,RESULTS_DELTA!$R$27,RESULTS_DELTA!$W$27)</c:f>
              <c:numCache>
                <c:formatCode>0.00</c:formatCode>
                <c:ptCount val="5"/>
                <c:pt idx="0">
                  <c:v>18.71</c:v>
                </c:pt>
                <c:pt idx="1">
                  <c:v>73.88000000000001</c:v>
                </c:pt>
                <c:pt idx="2">
                  <c:v>29.209999999999994</c:v>
                </c:pt>
                <c:pt idx="3">
                  <c:v>13.899999999999999</c:v>
                </c:pt>
                <c:pt idx="4">
                  <c:v>18.850000000000001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56-4A94-AB75-A96973A249CF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(RESULTS_DELTA!$C$47,RESULTS_DELTA!$H$47,RESULTS_DELTA!$M$47,RESULTS_DELTA!$R$47,RESULTS_DELTA!$W$47)</c:f>
              <c:numCache>
                <c:formatCode>0.00</c:formatCode>
                <c:ptCount val="5"/>
                <c:pt idx="0">
                  <c:v>14.709999999999999</c:v>
                </c:pt>
                <c:pt idx="1">
                  <c:v>19.21</c:v>
                </c:pt>
                <c:pt idx="2">
                  <c:v>35.08</c:v>
                </c:pt>
                <c:pt idx="3">
                  <c:v>18.669999999999995</c:v>
                </c:pt>
                <c:pt idx="4">
                  <c:v>77.679999999999978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A56-4A94-AB75-A96973A249CF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(RESULTS_DELTA!$C$67,RESULTS_DELTA!$H$67,RESULTS_DELTA!$M$67,RESULTS_DELTA!$R$67,RESULTS_DELTA!$W$67)</c:f>
              <c:numCache>
                <c:formatCode>0.00</c:formatCode>
                <c:ptCount val="5"/>
                <c:pt idx="0">
                  <c:v>12.700000000000003</c:v>
                </c:pt>
                <c:pt idx="1">
                  <c:v>19.759999999999994</c:v>
                </c:pt>
                <c:pt idx="2">
                  <c:v>15.07</c:v>
                </c:pt>
                <c:pt idx="3">
                  <c:v>18.560000000000002</c:v>
                </c:pt>
                <c:pt idx="4">
                  <c:v>44.179999999999993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A56-4A94-AB75-A96973A24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82376"/>
        <c:axId val="691077128"/>
      </c:scatterChart>
      <c:valAx>
        <c:axId val="69108237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77128"/>
        <c:crossesAt val="0"/>
        <c:crossBetween val="midCat"/>
        <c:majorUnit val="1"/>
      </c:valAx>
      <c:valAx>
        <c:axId val="691077128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8237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relative/range/ball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(RESULTS_DELTA!$D$7,RESULTS_DELTA!$I$7,RESULTS_DELTA!$N$7,RESULTS_DELTA!$S$7,RESULTS_DELTA!$X$7)</c:f>
              <c:numCache>
                <c:formatCode>0.00</c:formatCode>
                <c:ptCount val="5"/>
                <c:pt idx="0">
                  <c:v>2.9999999999999805E-2</c:v>
                </c:pt>
                <c:pt idx="1">
                  <c:v>4.3000000000000007</c:v>
                </c:pt>
                <c:pt idx="2">
                  <c:v>1.2899999999999991</c:v>
                </c:pt>
                <c:pt idx="3">
                  <c:v>4.330000000000001</c:v>
                </c:pt>
                <c:pt idx="4">
                  <c:v>8.6199999999999974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4D-4FCC-9654-B920D0CFA4A5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5"/>
          </c:errBars>
          <c:yVal>
            <c:numRef>
              <c:f>(RESULTS_DELTA!$D$27,RESULTS_DELTA!$I$27,RESULTS_DELTA!$N$27,RESULTS_DELTA!$S$27,RESULTS_DELTA!$X$27)</c:f>
              <c:numCache>
                <c:formatCode>0.00</c:formatCode>
                <c:ptCount val="5"/>
                <c:pt idx="0">
                  <c:v>8.0000000000000071E-2</c:v>
                </c:pt>
                <c:pt idx="1">
                  <c:v>8.6500000000000021</c:v>
                </c:pt>
                <c:pt idx="2">
                  <c:v>9.2199999999999989</c:v>
                </c:pt>
                <c:pt idx="3">
                  <c:v>6.04</c:v>
                </c:pt>
                <c:pt idx="4">
                  <c:v>19.97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4D-4FCC-9654-B920D0CFA4A5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5"/>
          </c:errBars>
          <c:yVal>
            <c:numRef>
              <c:f>(RESULTS_DELTA!$D$47,RESULTS_DELTA!$I$47,RESULTS_DELTA!$N$47,RESULTS_DELTA!$S$47,RESULTS_DELTA!$X$47)</c:f>
              <c:numCache>
                <c:formatCode>0.00</c:formatCode>
                <c:ptCount val="5"/>
                <c:pt idx="0">
                  <c:v>6.999999999999984E-2</c:v>
                </c:pt>
                <c:pt idx="1">
                  <c:v>10.709999999999997</c:v>
                </c:pt>
                <c:pt idx="2">
                  <c:v>1.2900000000000009</c:v>
                </c:pt>
                <c:pt idx="3">
                  <c:v>5.9699999999999989</c:v>
                </c:pt>
                <c:pt idx="4">
                  <c:v>4.32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4D-4FCC-9654-B920D0CFA4A5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5"/>
          </c:errBars>
          <c:yVal>
            <c:numRef>
              <c:f>(RESULTS_DELTA!$D$67,RESULTS_DELTA!$I$67,RESULTS_DELTA!$N$67,RESULTS_DELTA!$S$67,RESULTS_DELTA!$X$67)</c:f>
              <c:numCache>
                <c:formatCode>0.00</c:formatCode>
                <c:ptCount val="5"/>
                <c:pt idx="0">
                  <c:v>4.34</c:v>
                </c:pt>
                <c:pt idx="1">
                  <c:v>12.84</c:v>
                </c:pt>
                <c:pt idx="2">
                  <c:v>9.1999999999999975</c:v>
                </c:pt>
                <c:pt idx="3">
                  <c:v>5.9099999999999984</c:v>
                </c:pt>
                <c:pt idx="4">
                  <c:v>13.59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4D-4FCC-9654-B920D0CFA4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89264"/>
        <c:axId val="691091232"/>
      </c:scatterChart>
      <c:valAx>
        <c:axId val="691089264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91232"/>
        <c:crossesAt val="-10"/>
        <c:crossBetween val="midCat"/>
        <c:majorUnit val="1"/>
      </c:valAx>
      <c:valAx>
        <c:axId val="69109123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8926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relative/range/think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5"/>
          </c:errBars>
          <c:yVal>
            <c:numRef>
              <c:f>(RESULTS_DELTA!$E$7,RESULTS_DELTA!$J$7,RESULTS_DELTA!$O$7,RESULTS_DELTA!$T$7,RESULTS_DELTA!$Y$7)</c:f>
              <c:numCache>
                <c:formatCode>0.00</c:formatCode>
                <c:ptCount val="5"/>
                <c:pt idx="0">
                  <c:v>6.5900000000000034</c:v>
                </c:pt>
                <c:pt idx="1">
                  <c:v>3.0899999999999972</c:v>
                </c:pt>
                <c:pt idx="2">
                  <c:v>20.110000000000007</c:v>
                </c:pt>
                <c:pt idx="3">
                  <c:v>4.66</c:v>
                </c:pt>
                <c:pt idx="4">
                  <c:v>10.899999999999995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14-4E78-A89B-57DB4422ACAB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(RESULTS_DELTA!$E$27,RESULTS_DELTA!$J$27,RESULTS_DELTA!$O$27,RESULTS_DELTA!$T$27,RESULTS_DELTA!$Y$27)</c:f>
              <c:numCache>
                <c:formatCode>0.00</c:formatCode>
                <c:ptCount val="5"/>
                <c:pt idx="0">
                  <c:v>18.670000000000002</c:v>
                </c:pt>
                <c:pt idx="1">
                  <c:v>73.77000000000001</c:v>
                </c:pt>
                <c:pt idx="2">
                  <c:v>38.419999999999995</c:v>
                </c:pt>
                <c:pt idx="3">
                  <c:v>15.479999999999999</c:v>
                </c:pt>
                <c:pt idx="4">
                  <c:v>16.400000000000006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14-4E78-A89B-57DB4422ACAB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(RESULTS_DELTA!$E$47,RESULTS_DELTA!$J$47,RESULTS_DELTA!$O$47,RESULTS_DELTA!$T$47,RESULTS_DELTA!$Y$47)</c:f>
              <c:numCache>
                <c:formatCode>0.00</c:formatCode>
                <c:ptCount val="5"/>
                <c:pt idx="0">
                  <c:v>14.72</c:v>
                </c:pt>
                <c:pt idx="1">
                  <c:v>23.46</c:v>
                </c:pt>
                <c:pt idx="2">
                  <c:v>36.35</c:v>
                </c:pt>
                <c:pt idx="3">
                  <c:v>18.689999999999998</c:v>
                </c:pt>
                <c:pt idx="4">
                  <c:v>81.919999999999987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14-4E78-A89B-57DB4422ACAB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0"/>
          </c:errBars>
          <c:yVal>
            <c:numRef>
              <c:f>(RESULTS_DELTA!$E$67,RESULTS_DELTA!$J$67,RESULTS_DELTA!$O$67,RESULTS_DELTA!$T$67,RESULTS_DELTA!$Y$67)</c:f>
              <c:numCache>
                <c:formatCode>0.00</c:formatCode>
                <c:ptCount val="5"/>
                <c:pt idx="0">
                  <c:v>17.030000000000005</c:v>
                </c:pt>
                <c:pt idx="1">
                  <c:v>22.949999999999996</c:v>
                </c:pt>
                <c:pt idx="2">
                  <c:v>16.21</c:v>
                </c:pt>
                <c:pt idx="3">
                  <c:v>15.450000000000005</c:v>
                </c:pt>
                <c:pt idx="4">
                  <c:v>32.880000000000003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514-4E78-A89B-57DB4422A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96152"/>
        <c:axId val="691089592"/>
      </c:scatterChart>
      <c:valAx>
        <c:axId val="691096152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89592"/>
        <c:crossesAt val="-20"/>
        <c:crossBetween val="midCat"/>
        <c:majorUnit val="1"/>
      </c:valAx>
      <c:valAx>
        <c:axId val="69108959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9615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relative/range/ring rotations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(RESULTS_DELTA!$F$7,RESULTS_DELTA!$K$7,RESULTS_DELTA!$P$7,RESULTS_DELTA!$U$7,RESULTS_DELTA!$Z$7)</c:f>
              <c:numCache>
                <c:formatCode>0.00</c:formatCod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9D-46D4-852E-EB2DEA4B6217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(RESULTS_DELTA!$F$27,RESULTS_DELTA!$K$27,RESULTS_DELTA!$P$27,RESULTS_DELTA!$U$27,RESULTS_DELTA!$Z$27)</c:f>
              <c:numCache>
                <c:formatCode>0.00</c:formatCode>
                <c:ptCount val="5"/>
                <c:pt idx="0">
                  <c:v>8</c:v>
                </c:pt>
                <c:pt idx="1">
                  <c:v>14</c:v>
                </c:pt>
                <c:pt idx="2">
                  <c:v>15</c:v>
                </c:pt>
                <c:pt idx="3">
                  <c:v>6</c:v>
                </c:pt>
                <c:pt idx="4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9D-46D4-852E-EB2DEA4B6217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(RESULTS_DELTA!$F$47,RESULTS_DELTA!$K$47,RESULTS_DELTA!$P$47,RESULTS_DELTA!$U$47,RESULTS_DELTA!$Z$47)</c:f>
              <c:numCache>
                <c:formatCode>0.00</c:formatCode>
                <c:ptCount val="5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2</c:v>
                </c:pt>
                <c:pt idx="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9D-46D4-852E-EB2DEA4B6217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(RESULTS_DELTA!$F$67,RESULTS_DELTA!$K$67,RESULTS_DELTA!$P$67,RESULTS_DELTA!$U$67,RESULTS_DELTA!$Z$67)</c:f>
              <c:numCache>
                <c:formatCode>0.00</c:formatCode>
                <c:ptCount val="5"/>
                <c:pt idx="0">
                  <c:v>6</c:v>
                </c:pt>
                <c:pt idx="1">
                  <c:v>6</c:v>
                </c:pt>
                <c:pt idx="2">
                  <c:v>10</c:v>
                </c:pt>
                <c:pt idx="3">
                  <c:v>3</c:v>
                </c:pt>
                <c:pt idx="4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A9D-46D4-852E-EB2DEA4B6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87296"/>
        <c:axId val="691087952"/>
      </c:scatterChart>
      <c:valAx>
        <c:axId val="69108729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87952"/>
        <c:crossesAt val="0"/>
        <c:crossBetween val="midCat"/>
        <c:majorUnit val="1"/>
      </c:valAx>
      <c:valAx>
        <c:axId val="69108795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8729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relative/range/screen touches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(RESULTS_DELTA!$G$7,RESULTS_DELTA!$L$7,RESULTS_DELTA!$Q$7,RESULTS_DELTA!$V$7,RESULTS_DELTA!$AA$7)</c:f>
              <c:numCache>
                <c:formatCode>0.00</c:formatCode>
                <c:ptCount val="5"/>
                <c:pt idx="0">
                  <c:v>4</c:v>
                </c:pt>
                <c:pt idx="1">
                  <c:v>4</c:v>
                </c:pt>
                <c:pt idx="2">
                  <c:v>8</c:v>
                </c:pt>
                <c:pt idx="3">
                  <c:v>2</c:v>
                </c:pt>
                <c:pt idx="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8D-423A-AD65-060B3885A371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5"/>
          </c:errBars>
          <c:yVal>
            <c:numRef>
              <c:f>(RESULTS_DELTA!$G$27,RESULTS_DELTA!$L$27,RESULTS_DELTA!$Q$27,RESULTS_DELTA!$V$27,RESULTS_DELTA!$AA$27)</c:f>
              <c:numCache>
                <c:formatCode>0.00</c:formatCode>
                <c:ptCount val="5"/>
                <c:pt idx="0">
                  <c:v>7</c:v>
                </c:pt>
                <c:pt idx="1">
                  <c:v>14</c:v>
                </c:pt>
                <c:pt idx="2">
                  <c:v>23</c:v>
                </c:pt>
                <c:pt idx="3">
                  <c:v>7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8D-423A-AD65-060B3885A371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5"/>
          </c:errBars>
          <c:yVal>
            <c:numRef>
              <c:f>(RESULTS_DELTA!$G$47,RESULTS_DELTA!$L$47,RESULTS_DELTA!$Q$47,RESULTS_DELTA!$V$47,RESULTS_DELTA!$AA$47)</c:f>
              <c:numCache>
                <c:formatCode>0.00</c:formatCode>
                <c:ptCount val="5"/>
                <c:pt idx="0">
                  <c:v>11</c:v>
                </c:pt>
                <c:pt idx="1">
                  <c:v>12</c:v>
                </c:pt>
                <c:pt idx="2">
                  <c:v>15</c:v>
                </c:pt>
                <c:pt idx="3">
                  <c:v>4</c:v>
                </c:pt>
                <c:pt idx="4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8D-423A-AD65-060B3885A371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5"/>
          </c:errBars>
          <c:yVal>
            <c:numRef>
              <c:f>(RESULTS_DELTA!$G$67,RESULTS_DELTA!$L$67,RESULTS_DELTA!$Q$67,RESULTS_DELTA!$V$67,RESULTS_DELTA!$AA$67)</c:f>
              <c:numCache>
                <c:formatCode>0.00</c:formatCode>
                <c:ptCount val="5"/>
                <c:pt idx="0">
                  <c:v>13</c:v>
                </c:pt>
                <c:pt idx="1">
                  <c:v>11</c:v>
                </c:pt>
                <c:pt idx="2">
                  <c:v>19</c:v>
                </c:pt>
                <c:pt idx="3">
                  <c:v>6</c:v>
                </c:pt>
                <c:pt idx="4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C8D-423A-AD65-060B3885A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90904"/>
        <c:axId val="691105336"/>
      </c:scatterChart>
      <c:valAx>
        <c:axId val="691090904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105336"/>
        <c:crossesAt val="-5"/>
        <c:crossBetween val="midCat"/>
        <c:majorUnit val="1"/>
      </c:valAx>
      <c:valAx>
        <c:axId val="691105336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9090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relative/min/absolute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(RESULTS_DELTA!$C$8,RESULTS_DELTA!$H$8,RESULTS_DELTA!$M$8,RESULTS_DELTA!$R$8,RESULTS_DELTA!$W$8)</c:f>
              <c:numCache>
                <c:formatCode>0.00</c:formatCode>
                <c:ptCount val="5"/>
                <c:pt idx="0">
                  <c:v>6.59</c:v>
                </c:pt>
                <c:pt idx="1">
                  <c:v>3.4699999999999989</c:v>
                </c:pt>
                <c:pt idx="2">
                  <c:v>1.6199999999999974</c:v>
                </c:pt>
                <c:pt idx="3">
                  <c:v>3.17</c:v>
                </c:pt>
                <c:pt idx="4">
                  <c:v>0.94000000000000128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45-4C1A-BE00-5014E4A6B5B8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(RESULTS_DELTA!$C$28,RESULTS_DELTA!$H$28,RESULTS_DELTA!$M$28,RESULTS_DELTA!$R$28,RESULTS_DELTA!$W$28)</c:f>
              <c:numCache>
                <c:formatCode>0.00</c:formatCode>
                <c:ptCount val="5"/>
                <c:pt idx="0">
                  <c:v>-0.92000000000000171</c:v>
                </c:pt>
                <c:pt idx="1">
                  <c:v>-4.0600000000000023</c:v>
                </c:pt>
                <c:pt idx="2">
                  <c:v>-3.259999999999998</c:v>
                </c:pt>
                <c:pt idx="3">
                  <c:v>-1.0899999999999999</c:v>
                </c:pt>
                <c:pt idx="4">
                  <c:v>-4.75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745-4C1A-BE00-5014E4A6B5B8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(RESULTS_DELTA!$C$48,RESULTS_DELTA!$H$48,RESULTS_DELTA!$M$48,RESULTS_DELTA!$R$48,RESULTS_DELTA!$W$48)</c:f>
              <c:numCache>
                <c:formatCode>0.00</c:formatCode>
                <c:ptCount val="5"/>
                <c:pt idx="0">
                  <c:v>-0.79999999999999716</c:v>
                </c:pt>
                <c:pt idx="1">
                  <c:v>-3.3099999999999987</c:v>
                </c:pt>
                <c:pt idx="2">
                  <c:v>-10.100000000000001</c:v>
                </c:pt>
                <c:pt idx="3">
                  <c:v>-4.8199999999999985</c:v>
                </c:pt>
                <c:pt idx="4">
                  <c:v>-66.419999999999987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45-4C1A-BE00-5014E4A6B5B8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(RESULTS_DELTA!$C$68,RESULTS_DELTA!$H$68,RESULTS_DELTA!$M$68,RESULTS_DELTA!$R$68,RESULTS_DELTA!$W$68)</c:f>
              <c:numCache>
                <c:formatCode>0.00</c:formatCode>
                <c:ptCount val="5"/>
                <c:pt idx="0">
                  <c:v>4.9899999999999984</c:v>
                </c:pt>
                <c:pt idx="1">
                  <c:v>-0.13999999999999702</c:v>
                </c:pt>
                <c:pt idx="2">
                  <c:v>2.3400000000000034</c:v>
                </c:pt>
                <c:pt idx="3">
                  <c:v>-6.2000000000000028</c:v>
                </c:pt>
                <c:pt idx="4">
                  <c:v>-19.46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745-4C1A-BE00-5014E4A6B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97136"/>
        <c:axId val="691102056"/>
      </c:scatterChart>
      <c:valAx>
        <c:axId val="69109713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102056"/>
        <c:crossesAt val="-100"/>
        <c:crossBetween val="midCat"/>
        <c:majorUnit val="1"/>
      </c:valAx>
      <c:valAx>
        <c:axId val="691102056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9713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relative/min/ball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(RESULTS_DELTA!$D$8,RESULTS_DELTA!$I$8,RESULTS_DELTA!$N$8,RESULTS_DELTA!$S$8,RESULTS_DELTA!$X$8)</c:f>
              <c:numCache>
                <c:formatCode>0.00</c:formatCode>
                <c:ptCount val="5"/>
                <c:pt idx="0">
                  <c:v>-2.0000000000000018E-2</c:v>
                </c:pt>
                <c:pt idx="1">
                  <c:v>9.9999999999997868E-3</c:v>
                </c:pt>
                <c:pt idx="2">
                  <c:v>-1.1799999999999997</c:v>
                </c:pt>
                <c:pt idx="3">
                  <c:v>1.5499999999999998</c:v>
                </c:pt>
                <c:pt idx="4">
                  <c:v>-3.9999999999999147E-2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9E-4263-B687-4CB1A460F735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(RESULTS_DELTA!$D$28,RESULTS_DELTA!$I$28,RESULTS_DELTA!$N$28,RESULTS_DELTA!$S$28,RESULTS_DELTA!$X$28)</c:f>
              <c:numCache>
                <c:formatCode>0.00</c:formatCode>
                <c:ptCount val="5"/>
                <c:pt idx="0">
                  <c:v>-2.9999999999999805E-2</c:v>
                </c:pt>
                <c:pt idx="1">
                  <c:v>-6.9999999999999396E-2</c:v>
                </c:pt>
                <c:pt idx="2">
                  <c:v>-1.2899999999999991</c:v>
                </c:pt>
                <c:pt idx="3">
                  <c:v>-8.0000000000000071E-2</c:v>
                </c:pt>
                <c:pt idx="4">
                  <c:v>-8.51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9E-4263-B687-4CB1A460F735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(RESULTS_DELTA!$D$48,RESULTS_DELTA!$I$48,RESULTS_DELTA!$N$48,RESULTS_DELTA!$S$48,RESULTS_DELTA!$X$48)</c:f>
              <c:numCache>
                <c:formatCode>0.00</c:formatCode>
                <c:ptCount val="5"/>
                <c:pt idx="0">
                  <c:v>-6.0000000000000053E-2</c:v>
                </c:pt>
                <c:pt idx="1">
                  <c:v>-1.9999999999999574E-2</c:v>
                </c:pt>
                <c:pt idx="2">
                  <c:v>-1.2100000000000009</c:v>
                </c:pt>
                <c:pt idx="3">
                  <c:v>-3.9999999999999591E-2</c:v>
                </c:pt>
                <c:pt idx="4">
                  <c:v>-1.9999999999999574E-2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9E-4263-B687-4CB1A460F735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(RESULTS_DELTA!$D$68,RESULTS_DELTA!$I$68,RESULTS_DELTA!$N$68,RESULTS_DELTA!$S$68,RESULTS_DELTA!$X$68)</c:f>
              <c:numCache>
                <c:formatCode>0.00</c:formatCode>
                <c:ptCount val="5"/>
                <c:pt idx="0">
                  <c:v>-2.0000000000000018E-2</c:v>
                </c:pt>
                <c:pt idx="1">
                  <c:v>-4.2899999999999991</c:v>
                </c:pt>
                <c:pt idx="2">
                  <c:v>-1.2099999999999991</c:v>
                </c:pt>
                <c:pt idx="3">
                  <c:v>-3.9999999999999591E-2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9E-4263-B687-4CB1A460F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106320"/>
        <c:axId val="691097136"/>
      </c:scatterChart>
      <c:valAx>
        <c:axId val="691106320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97136"/>
        <c:crossesAt val="-12"/>
        <c:crossBetween val="midCat"/>
        <c:majorUnit val="1"/>
      </c:valAx>
      <c:valAx>
        <c:axId val="691097136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10632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relative/min/think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(RESULTS_DELTA!$E$8,RESULTS_DELTA!$J$8,RESULTS_DELTA!$O$8,RESULTS_DELTA!$T$8,RESULTS_DELTA!$Y$8)</c:f>
              <c:numCache>
                <c:formatCode>0.00</c:formatCode>
                <c:ptCount val="5"/>
                <c:pt idx="0">
                  <c:v>6.59</c:v>
                </c:pt>
                <c:pt idx="1">
                  <c:v>2.7600000000000016</c:v>
                </c:pt>
                <c:pt idx="2">
                  <c:v>1.6099999999999959</c:v>
                </c:pt>
                <c:pt idx="3">
                  <c:v>0.25999999999999979</c:v>
                </c:pt>
                <c:pt idx="4">
                  <c:v>-3.4799999999999969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5D-48B7-8FAA-BE78D44ACC44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5"/>
          </c:errBars>
          <c:yVal>
            <c:numRef>
              <c:f>(RESULTS_DELTA!$E$28,RESULTS_DELTA!$J$28,RESULTS_DELTA!$O$28,RESULTS_DELTA!$T$28,RESULTS_DELTA!$Y$28)</c:f>
              <c:numCache>
                <c:formatCode>0.00</c:formatCode>
                <c:ptCount val="5"/>
                <c:pt idx="0">
                  <c:v>-0.89000000000000057</c:v>
                </c:pt>
                <c:pt idx="1">
                  <c:v>-8.350000000000005</c:v>
                </c:pt>
                <c:pt idx="2">
                  <c:v>-11.189999999999998</c:v>
                </c:pt>
                <c:pt idx="3">
                  <c:v>-2.66</c:v>
                </c:pt>
                <c:pt idx="4">
                  <c:v>-6.5900000000000034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5D-48B7-8FAA-BE78D44ACC44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(RESULTS_DELTA!$E$48,RESULTS_DELTA!$J$48,RESULTS_DELTA!$O$48,RESULTS_DELTA!$T$48,RESULTS_DELTA!$Y$48)</c:f>
              <c:numCache>
                <c:formatCode>0.00</c:formatCode>
                <c:ptCount val="5"/>
                <c:pt idx="0">
                  <c:v>-0.79999999999999716</c:v>
                </c:pt>
                <c:pt idx="1">
                  <c:v>-7.5999999999999979</c:v>
                </c:pt>
                <c:pt idx="2">
                  <c:v>-10.16</c:v>
                </c:pt>
                <c:pt idx="3">
                  <c:v>-4.7999999999999989</c:v>
                </c:pt>
                <c:pt idx="4">
                  <c:v>-70.639999999999986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5D-48B7-8FAA-BE78D44ACC44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(RESULTS_DELTA!$E$68,RESULTS_DELTA!$J$68,RESULTS_DELTA!$O$68,RESULTS_DELTA!$T$68,RESULTS_DELTA!$Y$68)</c:f>
              <c:numCache>
                <c:formatCode>0.00</c:formatCode>
                <c:ptCount val="5"/>
                <c:pt idx="0">
                  <c:v>0.66999999999999815</c:v>
                </c:pt>
                <c:pt idx="1">
                  <c:v>-7.5499999999999989</c:v>
                </c:pt>
                <c:pt idx="2">
                  <c:v>2.4100000000000037</c:v>
                </c:pt>
                <c:pt idx="3">
                  <c:v>-6.1800000000000033</c:v>
                </c:pt>
                <c:pt idx="4">
                  <c:v>-19.510000000000002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5D-48B7-8FAA-BE78D44A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111896"/>
        <c:axId val="691114192"/>
      </c:scatterChart>
      <c:valAx>
        <c:axId val="69111189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114192"/>
        <c:crossesAt val="-100"/>
        <c:crossBetween val="midCat"/>
        <c:majorUnit val="1"/>
      </c:valAx>
      <c:valAx>
        <c:axId val="69111419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11189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relative/min/ring rotations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2"/>
          </c:errBars>
          <c:yVal>
            <c:numRef>
              <c:f>(RESULTS_DELTA!$F$8,RESULTS_DELTA!$K$8,RESULTS_DELTA!$P$8,RESULTS_DELTA!$U$8,RESULTS_DELTA!$Z$8)</c:f>
              <c:numCache>
                <c:formatCode>0.00</c:formatCode>
                <c:ptCount val="5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6E-4760-A070-45C0DE425CFE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(RESULTS_DELTA!$F$28,RESULTS_DELTA!$K$28,RESULTS_DELTA!$P$28,RESULTS_DELTA!$U$28,RESULTS_DELTA!$Z$28)</c:f>
              <c:numCache>
                <c:formatCode>0.00</c:formatCode>
                <c:ptCount val="5"/>
                <c:pt idx="0">
                  <c:v>-2</c:v>
                </c:pt>
                <c:pt idx="1">
                  <c:v>-8</c:v>
                </c:pt>
                <c:pt idx="2">
                  <c:v>-4</c:v>
                </c:pt>
                <c:pt idx="3">
                  <c:v>-1</c:v>
                </c:pt>
                <c:pt idx="4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6E-4760-A070-45C0DE425CFE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(RESULTS_DELTA!$F$48,RESULTS_DELTA!$K$48,RESULTS_DELTA!$P$48,RESULTS_DELTA!$U$48,RESULTS_DELTA!$Z$48)</c:f>
              <c:numCache>
                <c:formatCode>0.00</c:formatCode>
                <c:ptCount val="5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6E-4760-A070-45C0DE425CFE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(RESULTS_DELTA!$F$68,RESULTS_DELTA!$K$68,RESULTS_DELTA!$P$68,RESULTS_DELTA!$U$68,RESULTS_DELTA!$Z$68)</c:f>
              <c:numCache>
                <c:formatCode>0.00</c:formatCode>
                <c:ptCount val="5"/>
                <c:pt idx="0">
                  <c:v>0</c:v>
                </c:pt>
                <c:pt idx="1">
                  <c:v>-3</c:v>
                </c:pt>
                <c:pt idx="2">
                  <c:v>-2</c:v>
                </c:pt>
                <c:pt idx="3">
                  <c:v>0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66E-4760-A070-45C0DE425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107304"/>
        <c:axId val="691111568"/>
      </c:scatterChart>
      <c:valAx>
        <c:axId val="691107304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111568"/>
        <c:crossesAt val="-10"/>
        <c:crossBetween val="midCat"/>
        <c:majorUnit val="1"/>
      </c:valAx>
      <c:valAx>
        <c:axId val="691111568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10730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relative/min/screen touches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(RESULTS_DELTA!$G$8,RESULTS_DELTA!$L$8,RESULTS_DELTA!$Q$8,RESULTS_DELTA!$V$8,RESULTS_DELTA!$AA$8)</c:f>
              <c:numCache>
                <c:formatCode>0.00</c:formatCode>
                <c:ptCount val="5"/>
                <c:pt idx="0">
                  <c:v>-1</c:v>
                </c:pt>
                <c:pt idx="1">
                  <c:v>-2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C2-4F56-95FF-C2A0E05C75B8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(RESULTS_DELTA!$G$28,RESULTS_DELTA!$L$28,RESULTS_DELTA!$Q$28,RESULTS_DELTA!$V$28,RESULTS_DELTA!$AA$28)</c:f>
              <c:numCache>
                <c:formatCode>0.00</c:formatCode>
                <c:ptCount val="5"/>
                <c:pt idx="0">
                  <c:v>-1</c:v>
                </c:pt>
                <c:pt idx="1">
                  <c:v>-8</c:v>
                </c:pt>
                <c:pt idx="2">
                  <c:v>-8</c:v>
                </c:pt>
                <c:pt idx="3">
                  <c:v>-3</c:v>
                </c:pt>
                <c:pt idx="4">
                  <c:v>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C2-4F56-95FF-C2A0E05C75B8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(RESULTS_DELTA!$G$48,RESULTS_DELTA!$L$48,RESULTS_DELTA!$Q$48,RESULTS_DELTA!$V$48,RESULTS_DELTA!$AA$48)</c:f>
              <c:numCache>
                <c:formatCode>0.00</c:formatCode>
                <c:ptCount val="5"/>
                <c:pt idx="0">
                  <c:v>-1</c:v>
                </c:pt>
                <c:pt idx="1">
                  <c:v>-2</c:v>
                </c:pt>
                <c:pt idx="2">
                  <c:v>-5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C2-4F56-95FF-C2A0E05C75B8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(RESULTS_DELTA!$G$68,RESULTS_DELTA!$L$68,RESULTS_DELTA!$Q$68,RESULTS_DELTA!$V$68,RESULTS_DELTA!$AA$68)</c:f>
              <c:numCache>
                <c:formatCode>0.00</c:formatCode>
                <c:ptCount val="5"/>
                <c:pt idx="0">
                  <c:v>-3</c:v>
                </c:pt>
                <c:pt idx="1">
                  <c:v>0</c:v>
                </c:pt>
                <c:pt idx="2">
                  <c:v>-5</c:v>
                </c:pt>
                <c:pt idx="3">
                  <c:v>0</c:v>
                </c:pt>
                <c:pt idx="4">
                  <c:v>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FC2-4F56-95FF-C2A0E05C7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112552"/>
        <c:axId val="691115832"/>
      </c:scatterChart>
      <c:valAx>
        <c:axId val="691112552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115832"/>
        <c:crossesAt val="-10"/>
        <c:crossBetween val="midCat"/>
        <c:majorUnit val="1"/>
      </c:valAx>
      <c:valAx>
        <c:axId val="69111583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11255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relative/max/absolute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5"/>
          </c:errBars>
          <c:yVal>
            <c:numRef>
              <c:f>(RESULTS_DELTA!$C$9,RESULTS_DELTA!$H$9,RESULTS_DELTA!$M$9,RESULTS_DELTA!$R$9,RESULTS_DELTA!$W$9)</c:f>
              <c:numCache>
                <c:formatCode>0.00</c:formatCode>
                <c:ptCount val="5"/>
                <c:pt idx="0">
                  <c:v>13.160000000000002</c:v>
                </c:pt>
                <c:pt idx="1">
                  <c:v>10.119999999999999</c:v>
                </c:pt>
                <c:pt idx="2">
                  <c:v>20.540000000000003</c:v>
                </c:pt>
                <c:pt idx="3">
                  <c:v>6.8100000000000005</c:v>
                </c:pt>
                <c:pt idx="4">
                  <c:v>11.7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C2-4B94-93A7-263F02F0F5F7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(RESULTS_DELTA!$C$29,RESULTS_DELTA!$H$29,RESULTS_DELTA!$M$29,RESULTS_DELTA!$R$29,RESULTS_DELTA!$W$29)</c:f>
              <c:numCache>
                <c:formatCode>0.00</c:formatCode>
                <c:ptCount val="5"/>
                <c:pt idx="0">
                  <c:v>17.79</c:v>
                </c:pt>
                <c:pt idx="1">
                  <c:v>69.820000000000007</c:v>
                </c:pt>
                <c:pt idx="2">
                  <c:v>25.949999999999996</c:v>
                </c:pt>
                <c:pt idx="3">
                  <c:v>12.809999999999999</c:v>
                </c:pt>
                <c:pt idx="4">
                  <c:v>14.100000000000001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8C2-4B94-93A7-263F02F0F5F7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(RESULTS_DELTA!$C$49,RESULTS_DELTA!$H$49,RESULTS_DELTA!$M$49,RESULTS_DELTA!$R$49,RESULTS_DELTA!$W$49)</c:f>
              <c:numCache>
                <c:formatCode>0.00</c:formatCode>
                <c:ptCount val="5"/>
                <c:pt idx="0">
                  <c:v>13.910000000000002</c:v>
                </c:pt>
                <c:pt idx="1">
                  <c:v>15.9</c:v>
                </c:pt>
                <c:pt idx="2">
                  <c:v>24.98</c:v>
                </c:pt>
                <c:pt idx="3">
                  <c:v>13.849999999999998</c:v>
                </c:pt>
                <c:pt idx="4">
                  <c:v>11.259999999999998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8C2-4B94-93A7-263F02F0F5F7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(RESULTS_DELTA!$C$69,RESULTS_DELTA!$H$69,RESULTS_DELTA!$M$69,RESULTS_DELTA!$R$69,RESULTS_DELTA!$W$69)</c:f>
              <c:numCache>
                <c:formatCode>0.00</c:formatCode>
                <c:ptCount val="5"/>
                <c:pt idx="0">
                  <c:v>17.690000000000001</c:v>
                </c:pt>
                <c:pt idx="1">
                  <c:v>19.619999999999997</c:v>
                </c:pt>
                <c:pt idx="2">
                  <c:v>17.410000000000004</c:v>
                </c:pt>
                <c:pt idx="3">
                  <c:v>12.360000000000001</c:v>
                </c:pt>
                <c:pt idx="4">
                  <c:v>24.719999999999995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8C2-4B94-93A7-263F02F0F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121736"/>
        <c:axId val="691126984"/>
      </c:scatterChart>
      <c:valAx>
        <c:axId val="69112173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126984"/>
        <c:crossesAt val="0"/>
        <c:crossBetween val="midCat"/>
        <c:majorUnit val="1"/>
      </c:valAx>
      <c:valAx>
        <c:axId val="69112698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12173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relative/max/ball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(RESULTS_DELTA!$D$9,RESULTS_DELTA!$I$9,RESULTS_DELTA!$N$9,RESULTS_DELTA!$S$9,RESULTS_DELTA!$X$9)</c:f>
              <c:numCache>
                <c:formatCode>0.00</c:formatCode>
                <c:ptCount val="5"/>
                <c:pt idx="0">
                  <c:v>9.9999999999997868E-3</c:v>
                </c:pt>
                <c:pt idx="1">
                  <c:v>4.3100000000000005</c:v>
                </c:pt>
                <c:pt idx="2">
                  <c:v>0.10999999999999943</c:v>
                </c:pt>
                <c:pt idx="3">
                  <c:v>5.8800000000000008</c:v>
                </c:pt>
                <c:pt idx="4">
                  <c:v>8.5799999999999983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86-4CB1-B2E7-5E7219A13DA5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(RESULTS_DELTA!$D$29,RESULTS_DELTA!$I$29,RESULTS_DELTA!$N$29,RESULTS_DELTA!$S$29,RESULTS_DELTA!$X$29)</c:f>
              <c:numCache>
                <c:formatCode>0.00</c:formatCode>
                <c:ptCount val="5"/>
                <c:pt idx="0">
                  <c:v>5.0000000000000266E-2</c:v>
                </c:pt>
                <c:pt idx="1">
                  <c:v>8.5800000000000018</c:v>
                </c:pt>
                <c:pt idx="2">
                  <c:v>7.93</c:v>
                </c:pt>
                <c:pt idx="3">
                  <c:v>5.96</c:v>
                </c:pt>
                <c:pt idx="4">
                  <c:v>11.46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86-4CB1-B2E7-5E7219A13DA5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(RESULTS_DELTA!$D$49,RESULTS_DELTA!$I$49,RESULTS_DELTA!$N$49,RESULTS_DELTA!$S$49,RESULTS_DELTA!$X$49)</c:f>
              <c:numCache>
                <c:formatCode>0.00</c:formatCode>
                <c:ptCount val="5"/>
                <c:pt idx="0">
                  <c:v>9.9999999999997868E-3</c:v>
                </c:pt>
                <c:pt idx="1">
                  <c:v>10.689999999999998</c:v>
                </c:pt>
                <c:pt idx="2">
                  <c:v>8.0000000000000071E-2</c:v>
                </c:pt>
                <c:pt idx="3">
                  <c:v>5.93</c:v>
                </c:pt>
                <c:pt idx="4">
                  <c:v>4.3000000000000007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86-4CB1-B2E7-5E7219A13DA5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(RESULTS_DELTA!$D$69,RESULTS_DELTA!$I$69,RESULTS_DELTA!$N$69,RESULTS_DELTA!$S$69,RESULTS_DELTA!$X$69)</c:f>
              <c:numCache>
                <c:formatCode>0.00</c:formatCode>
                <c:ptCount val="5"/>
                <c:pt idx="0">
                  <c:v>4.32</c:v>
                </c:pt>
                <c:pt idx="1">
                  <c:v>8.5500000000000007</c:v>
                </c:pt>
                <c:pt idx="2">
                  <c:v>7.9899999999999984</c:v>
                </c:pt>
                <c:pt idx="3">
                  <c:v>5.8699999999999992</c:v>
                </c:pt>
                <c:pt idx="4">
                  <c:v>13.59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86-4CB1-B2E7-5E7219A13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125672"/>
        <c:axId val="691122720"/>
      </c:scatterChart>
      <c:valAx>
        <c:axId val="691125672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122720"/>
        <c:crossesAt val="-4"/>
        <c:crossBetween val="midCat"/>
        <c:majorUnit val="1"/>
      </c:valAx>
      <c:valAx>
        <c:axId val="691122720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125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relative/max/think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5"/>
          </c:errBars>
          <c:yVal>
            <c:numRef>
              <c:f>(RESULTS_DELTA!$E$9,RESULTS_DELTA!$J$9,RESULTS_DELTA!$O$9,RESULTS_DELTA!$T$9,RESULTS_DELTA!$Y$9)</c:f>
              <c:numCache>
                <c:formatCode>0.00</c:formatCode>
                <c:ptCount val="5"/>
                <c:pt idx="0">
                  <c:v>13.180000000000003</c:v>
                </c:pt>
                <c:pt idx="1">
                  <c:v>5.8499999999999988</c:v>
                </c:pt>
                <c:pt idx="2">
                  <c:v>21.720000000000002</c:v>
                </c:pt>
                <c:pt idx="3">
                  <c:v>4.92</c:v>
                </c:pt>
                <c:pt idx="4">
                  <c:v>7.4199999999999982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54-4767-A39E-F54080D11FE6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(RESULTS_DELTA!$E$29,RESULTS_DELTA!$J$29,RESULTS_DELTA!$O$29,RESULTS_DELTA!$T$29,RESULTS_DELTA!$Y$29)</c:f>
              <c:numCache>
                <c:formatCode>0.00</c:formatCode>
                <c:ptCount val="5"/>
                <c:pt idx="0">
                  <c:v>17.78</c:v>
                </c:pt>
                <c:pt idx="1">
                  <c:v>65.42</c:v>
                </c:pt>
                <c:pt idx="2">
                  <c:v>27.229999999999997</c:v>
                </c:pt>
                <c:pt idx="3">
                  <c:v>12.819999999999999</c:v>
                </c:pt>
                <c:pt idx="4">
                  <c:v>9.8100000000000023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54-4767-A39E-F54080D11FE6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(RESULTS_DELTA!$E$49,RESULTS_DELTA!$J$49,RESULTS_DELTA!$O$49,RESULTS_DELTA!$T$49,RESULTS_DELTA!$Y$49)</c:f>
              <c:numCache>
                <c:formatCode>0.00</c:formatCode>
                <c:ptCount val="5"/>
                <c:pt idx="0">
                  <c:v>13.920000000000003</c:v>
                </c:pt>
                <c:pt idx="1">
                  <c:v>15.860000000000003</c:v>
                </c:pt>
                <c:pt idx="2">
                  <c:v>26.19</c:v>
                </c:pt>
                <c:pt idx="3">
                  <c:v>13.889999999999999</c:v>
                </c:pt>
                <c:pt idx="4">
                  <c:v>11.279999999999998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54-4767-A39E-F54080D11FE6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(RESULTS_DELTA!$E$69,RESULTS_DELTA!$J$69,RESULTS_DELTA!$O$69,RESULTS_DELTA!$T$69,RESULTS_DELTA!$Y$69)</c:f>
              <c:numCache>
                <c:formatCode>0.00</c:formatCode>
                <c:ptCount val="5"/>
                <c:pt idx="0">
                  <c:v>17.700000000000003</c:v>
                </c:pt>
                <c:pt idx="1">
                  <c:v>15.399999999999999</c:v>
                </c:pt>
                <c:pt idx="2">
                  <c:v>18.620000000000005</c:v>
                </c:pt>
                <c:pt idx="3">
                  <c:v>9.2700000000000014</c:v>
                </c:pt>
                <c:pt idx="4">
                  <c:v>13.370000000000001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54-4767-A39E-F54080D11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118128"/>
        <c:axId val="691117472"/>
      </c:scatterChart>
      <c:valAx>
        <c:axId val="691118128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117472"/>
        <c:crossesAt val="-10"/>
        <c:crossBetween val="midCat"/>
        <c:majorUnit val="1"/>
      </c:valAx>
      <c:valAx>
        <c:axId val="69111747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11812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relative/max/ring rotations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(RESULTS_DELTA!$F$9,RESULTS_DELTA!$K$9,RESULTS_DELTA!$P$9,RESULTS_DELTA!$U$9,RESULTS_DELTA!$Z$9)</c:f>
              <c:numCache>
                <c:formatCode>0.00</c:formatCode>
                <c:ptCount val="5"/>
                <c:pt idx="0">
                  <c:v>1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DE-4F63-83EA-3E6F0F5FB9F8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(RESULTS_DELTA!$F$29,RESULTS_DELTA!$K$29,RESULTS_DELTA!$P$29,RESULTS_DELTA!$U$29,RESULTS_DELTA!$Z$29)</c:f>
              <c:numCache>
                <c:formatCode>0.00</c:formatCode>
                <c:ptCount val="5"/>
                <c:pt idx="0">
                  <c:v>6</c:v>
                </c:pt>
                <c:pt idx="1">
                  <c:v>6</c:v>
                </c:pt>
                <c:pt idx="2">
                  <c:v>11</c:v>
                </c:pt>
                <c:pt idx="3">
                  <c:v>5</c:v>
                </c:pt>
                <c:pt idx="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DE-4F63-83EA-3E6F0F5FB9F8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(RESULTS_DELTA!$F$49,RESULTS_DELTA!$K$49,RESULTS_DELTA!$P$49,RESULTS_DELTA!$U$49,RESULTS_DELTA!$Z$49)</c:f>
              <c:numCache>
                <c:formatCode>0.00</c:formatCode>
                <c:ptCount val="5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2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DE-4F63-83EA-3E6F0F5FB9F8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(RESULTS_DELTA!$F$69,RESULTS_DELTA!$K$69,RESULTS_DELTA!$P$69,RESULTS_DELTA!$U$69,RESULTS_DELTA!$Z$69)</c:f>
              <c:numCache>
                <c:formatCode>0.00</c:formatCode>
                <c:ptCount val="5"/>
                <c:pt idx="0">
                  <c:v>6</c:v>
                </c:pt>
                <c:pt idx="1">
                  <c:v>3</c:v>
                </c:pt>
                <c:pt idx="2">
                  <c:v>8</c:v>
                </c:pt>
                <c:pt idx="3">
                  <c:v>3</c:v>
                </c:pt>
                <c:pt idx="4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DE-4F63-83EA-3E6F0F5FB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121080"/>
        <c:axId val="691135512"/>
      </c:scatterChart>
      <c:valAx>
        <c:axId val="691121080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135512"/>
        <c:crossesAt val="0"/>
        <c:crossBetween val="midCat"/>
        <c:majorUnit val="1"/>
      </c:valAx>
      <c:valAx>
        <c:axId val="69113551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12108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relative/max/screen touches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(RESULTS_DELTA!$G$9,RESULTS_DELTA!$L$9,RESULTS_DELTA!$Q$9,RESULTS_DELTA!$V$9,RESULTS_DELTA!$AA$9)</c:f>
              <c:numCache>
                <c:formatCode>0.00</c:formatCode>
                <c:ptCount val="5"/>
                <c:pt idx="0">
                  <c:v>3</c:v>
                </c:pt>
                <c:pt idx="1">
                  <c:v>2</c:v>
                </c:pt>
                <c:pt idx="2">
                  <c:v>7</c:v>
                </c:pt>
                <c:pt idx="3">
                  <c:v>1</c:v>
                </c:pt>
                <c:pt idx="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4A-48FC-A3F3-252426D1449E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(RESULTS_DELTA!$G$29,RESULTS_DELTA!$L$29,RESULTS_DELTA!$Q$29,RESULTS_DELTA!$V$29,RESULTS_DELTA!$AA$29)</c:f>
              <c:numCache>
                <c:formatCode>0.00</c:formatCode>
                <c:ptCount val="5"/>
                <c:pt idx="0">
                  <c:v>6</c:v>
                </c:pt>
                <c:pt idx="1">
                  <c:v>6</c:v>
                </c:pt>
                <c:pt idx="2">
                  <c:v>15</c:v>
                </c:pt>
                <c:pt idx="3">
                  <c:v>4</c:v>
                </c:pt>
                <c:pt idx="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4A-48FC-A3F3-252426D1449E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(RESULTS_DELTA!$G$49,RESULTS_DELTA!$L$49,RESULTS_DELTA!$Q$49,RESULTS_DELTA!$V$49,RESULTS_DELTA!$AA$49)</c:f>
              <c:numCache>
                <c:formatCode>0.00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4A-48FC-A3F3-252426D1449E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(RESULTS_DELTA!$G$69,RESULTS_DELTA!$L$69,RESULTS_DELTA!$Q$69,RESULTS_DELTA!$V$69,RESULTS_DELTA!$AA$69)</c:f>
              <c:numCache>
                <c:formatCode>0.00</c:formatCode>
                <c:ptCount val="5"/>
                <c:pt idx="0">
                  <c:v>10</c:v>
                </c:pt>
                <c:pt idx="1">
                  <c:v>11</c:v>
                </c:pt>
                <c:pt idx="2">
                  <c:v>14</c:v>
                </c:pt>
                <c:pt idx="3">
                  <c:v>6</c:v>
                </c:pt>
                <c:pt idx="4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4A-48FC-A3F3-252426D14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128296"/>
        <c:axId val="691136168"/>
      </c:scatterChart>
      <c:valAx>
        <c:axId val="69112829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136168"/>
        <c:crossesAt val="0"/>
        <c:crossBetween val="midCat"/>
        <c:majorUnit val="1"/>
      </c:valAx>
      <c:valAx>
        <c:axId val="691136168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12829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1.xml"/><Relationship Id="rId13" Type="http://schemas.openxmlformats.org/officeDocument/2006/relationships/chart" Target="../charts/chart46.xml"/><Relationship Id="rId18" Type="http://schemas.openxmlformats.org/officeDocument/2006/relationships/chart" Target="../charts/chart51.xml"/><Relationship Id="rId26" Type="http://schemas.openxmlformats.org/officeDocument/2006/relationships/chart" Target="../charts/chart59.xml"/><Relationship Id="rId3" Type="http://schemas.openxmlformats.org/officeDocument/2006/relationships/chart" Target="../charts/chart36.xml"/><Relationship Id="rId21" Type="http://schemas.openxmlformats.org/officeDocument/2006/relationships/chart" Target="../charts/chart54.xml"/><Relationship Id="rId34" Type="http://schemas.openxmlformats.org/officeDocument/2006/relationships/chart" Target="../charts/chart67.xml"/><Relationship Id="rId7" Type="http://schemas.openxmlformats.org/officeDocument/2006/relationships/chart" Target="../charts/chart40.xml"/><Relationship Id="rId12" Type="http://schemas.openxmlformats.org/officeDocument/2006/relationships/chart" Target="../charts/chart45.xml"/><Relationship Id="rId17" Type="http://schemas.openxmlformats.org/officeDocument/2006/relationships/chart" Target="../charts/chart50.xml"/><Relationship Id="rId25" Type="http://schemas.openxmlformats.org/officeDocument/2006/relationships/chart" Target="../charts/chart58.xml"/><Relationship Id="rId33" Type="http://schemas.openxmlformats.org/officeDocument/2006/relationships/chart" Target="../charts/chart66.xml"/><Relationship Id="rId2" Type="http://schemas.openxmlformats.org/officeDocument/2006/relationships/chart" Target="../charts/chart35.xml"/><Relationship Id="rId16" Type="http://schemas.openxmlformats.org/officeDocument/2006/relationships/chart" Target="../charts/chart49.xml"/><Relationship Id="rId20" Type="http://schemas.openxmlformats.org/officeDocument/2006/relationships/chart" Target="../charts/chart53.xml"/><Relationship Id="rId29" Type="http://schemas.openxmlformats.org/officeDocument/2006/relationships/chart" Target="../charts/chart62.xml"/><Relationship Id="rId1" Type="http://schemas.openxmlformats.org/officeDocument/2006/relationships/chart" Target="../charts/chart34.xml"/><Relationship Id="rId6" Type="http://schemas.openxmlformats.org/officeDocument/2006/relationships/chart" Target="../charts/chart39.xml"/><Relationship Id="rId11" Type="http://schemas.openxmlformats.org/officeDocument/2006/relationships/chart" Target="../charts/chart44.xml"/><Relationship Id="rId24" Type="http://schemas.openxmlformats.org/officeDocument/2006/relationships/chart" Target="../charts/chart57.xml"/><Relationship Id="rId32" Type="http://schemas.openxmlformats.org/officeDocument/2006/relationships/chart" Target="../charts/chart65.xml"/><Relationship Id="rId5" Type="http://schemas.openxmlformats.org/officeDocument/2006/relationships/chart" Target="../charts/chart38.xml"/><Relationship Id="rId15" Type="http://schemas.openxmlformats.org/officeDocument/2006/relationships/chart" Target="../charts/chart48.xml"/><Relationship Id="rId23" Type="http://schemas.openxmlformats.org/officeDocument/2006/relationships/chart" Target="../charts/chart56.xml"/><Relationship Id="rId28" Type="http://schemas.openxmlformats.org/officeDocument/2006/relationships/chart" Target="../charts/chart61.xml"/><Relationship Id="rId10" Type="http://schemas.openxmlformats.org/officeDocument/2006/relationships/chart" Target="../charts/chart43.xml"/><Relationship Id="rId19" Type="http://schemas.openxmlformats.org/officeDocument/2006/relationships/chart" Target="../charts/chart52.xml"/><Relationship Id="rId31" Type="http://schemas.openxmlformats.org/officeDocument/2006/relationships/chart" Target="../charts/chart64.xml"/><Relationship Id="rId4" Type="http://schemas.openxmlformats.org/officeDocument/2006/relationships/chart" Target="../charts/chart37.xml"/><Relationship Id="rId9" Type="http://schemas.openxmlformats.org/officeDocument/2006/relationships/chart" Target="../charts/chart42.xml"/><Relationship Id="rId14" Type="http://schemas.openxmlformats.org/officeDocument/2006/relationships/chart" Target="../charts/chart47.xml"/><Relationship Id="rId22" Type="http://schemas.openxmlformats.org/officeDocument/2006/relationships/chart" Target="../charts/chart55.xml"/><Relationship Id="rId27" Type="http://schemas.openxmlformats.org/officeDocument/2006/relationships/chart" Target="../charts/chart60.xml"/><Relationship Id="rId30" Type="http://schemas.openxmlformats.org/officeDocument/2006/relationships/chart" Target="../charts/chart63.xml"/><Relationship Id="rId35" Type="http://schemas.openxmlformats.org/officeDocument/2006/relationships/chart" Target="../charts/chart6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16</xdr:row>
          <xdr:rowOff>19050</xdr:rowOff>
        </xdr:from>
        <xdr:to>
          <xdr:col>29</xdr:col>
          <xdr:colOff>1295400</xdr:colOff>
          <xdr:row>18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598712</xdr:colOff>
      <xdr:row>29</xdr:row>
      <xdr:rowOff>-1</xdr:rowOff>
    </xdr:from>
    <xdr:to>
      <xdr:col>13</xdr:col>
      <xdr:colOff>421820</xdr:colOff>
      <xdr:row>50</xdr:row>
      <xdr:rowOff>108858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201706</xdr:colOff>
      <xdr:row>51</xdr:row>
      <xdr:rowOff>109656</xdr:rowOff>
    </xdr:from>
    <xdr:to>
      <xdr:col>12</xdr:col>
      <xdr:colOff>570459</xdr:colOff>
      <xdr:row>73</xdr:row>
      <xdr:rowOff>28015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29</xdr:row>
      <xdr:rowOff>0</xdr:rowOff>
    </xdr:from>
    <xdr:to>
      <xdr:col>21</xdr:col>
      <xdr:colOff>108856</xdr:colOff>
      <xdr:row>55</xdr:row>
      <xdr:rowOff>54428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436473</xdr:colOff>
      <xdr:row>95</xdr:row>
      <xdr:rowOff>11204</xdr:rowOff>
    </xdr:from>
    <xdr:to>
      <xdr:col>10</xdr:col>
      <xdr:colOff>180975</xdr:colOff>
      <xdr:row>112</xdr:row>
      <xdr:rowOff>22411</xdr:rowOff>
    </xdr:to>
    <xdr:graphicFrame macro="">
      <xdr:nvGraphicFramePr>
        <xdr:cNvPr id="8" name="Wykre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179847</xdr:colOff>
      <xdr:row>95</xdr:row>
      <xdr:rowOff>11205</xdr:rowOff>
    </xdr:from>
    <xdr:to>
      <xdr:col>22</xdr:col>
      <xdr:colOff>45945</xdr:colOff>
      <xdr:row>112</xdr:row>
      <xdr:rowOff>22412</xdr:rowOff>
    </xdr:to>
    <xdr:graphicFrame macro="">
      <xdr:nvGraphicFramePr>
        <xdr:cNvPr id="9" name="Wykre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425269</xdr:colOff>
      <xdr:row>115</xdr:row>
      <xdr:rowOff>33617</xdr:rowOff>
    </xdr:from>
    <xdr:to>
      <xdr:col>10</xdr:col>
      <xdr:colOff>182286</xdr:colOff>
      <xdr:row>132</xdr:row>
      <xdr:rowOff>44824</xdr:rowOff>
    </xdr:to>
    <xdr:graphicFrame macro="">
      <xdr:nvGraphicFramePr>
        <xdr:cNvPr id="10" name="Wykres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168643</xdr:colOff>
      <xdr:row>115</xdr:row>
      <xdr:rowOff>33617</xdr:rowOff>
    </xdr:from>
    <xdr:to>
      <xdr:col>22</xdr:col>
      <xdr:colOff>46108</xdr:colOff>
      <xdr:row>132</xdr:row>
      <xdr:rowOff>44824</xdr:rowOff>
    </xdr:to>
    <xdr:graphicFrame macro="">
      <xdr:nvGraphicFramePr>
        <xdr:cNvPr id="11" name="Wykres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28</xdr:col>
      <xdr:colOff>163286</xdr:colOff>
      <xdr:row>146</xdr:row>
      <xdr:rowOff>149677</xdr:rowOff>
    </xdr:from>
    <xdr:to>
      <xdr:col>37</xdr:col>
      <xdr:colOff>530608</xdr:colOff>
      <xdr:row>163</xdr:row>
      <xdr:rowOff>160884</xdr:rowOff>
    </xdr:to>
    <xdr:graphicFrame macro="">
      <xdr:nvGraphicFramePr>
        <xdr:cNvPr id="13" name="Wykres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37</xdr:col>
      <xdr:colOff>530678</xdr:colOff>
      <xdr:row>146</xdr:row>
      <xdr:rowOff>149677</xdr:rowOff>
    </xdr:from>
    <xdr:to>
      <xdr:col>47</xdr:col>
      <xdr:colOff>285679</xdr:colOff>
      <xdr:row>163</xdr:row>
      <xdr:rowOff>160884</xdr:rowOff>
    </xdr:to>
    <xdr:graphicFrame macro="">
      <xdr:nvGraphicFramePr>
        <xdr:cNvPr id="14" name="Wykres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156</xdr:row>
      <xdr:rowOff>0</xdr:rowOff>
    </xdr:from>
    <xdr:to>
      <xdr:col>10</xdr:col>
      <xdr:colOff>367322</xdr:colOff>
      <xdr:row>173</xdr:row>
      <xdr:rowOff>11207</xdr:rowOff>
    </xdr:to>
    <xdr:graphicFrame macro="">
      <xdr:nvGraphicFramePr>
        <xdr:cNvPr id="17" name="Wykre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367396</xdr:colOff>
      <xdr:row>156</xdr:row>
      <xdr:rowOff>0</xdr:rowOff>
    </xdr:from>
    <xdr:to>
      <xdr:col>22</xdr:col>
      <xdr:colOff>244861</xdr:colOff>
      <xdr:row>173</xdr:row>
      <xdr:rowOff>11207</xdr:rowOff>
    </xdr:to>
    <xdr:graphicFrame macro="">
      <xdr:nvGraphicFramePr>
        <xdr:cNvPr id="18" name="Wykre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173</xdr:row>
      <xdr:rowOff>2</xdr:rowOff>
    </xdr:from>
    <xdr:to>
      <xdr:col>10</xdr:col>
      <xdr:colOff>367322</xdr:colOff>
      <xdr:row>190</xdr:row>
      <xdr:rowOff>11209</xdr:rowOff>
    </xdr:to>
    <xdr:graphicFrame macro="">
      <xdr:nvGraphicFramePr>
        <xdr:cNvPr id="19" name="Wykre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367396</xdr:colOff>
      <xdr:row>173</xdr:row>
      <xdr:rowOff>2</xdr:rowOff>
    </xdr:from>
    <xdr:to>
      <xdr:col>22</xdr:col>
      <xdr:colOff>244861</xdr:colOff>
      <xdr:row>190</xdr:row>
      <xdr:rowOff>11209</xdr:rowOff>
    </xdr:to>
    <xdr:graphicFrame macro="">
      <xdr:nvGraphicFramePr>
        <xdr:cNvPr id="20" name="Wykre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32</xdr:col>
      <xdr:colOff>0</xdr:colOff>
      <xdr:row>15</xdr:row>
      <xdr:rowOff>1</xdr:rowOff>
    </xdr:from>
    <xdr:to>
      <xdr:col>41</xdr:col>
      <xdr:colOff>356823</xdr:colOff>
      <xdr:row>36</xdr:row>
      <xdr:rowOff>1</xdr:rowOff>
    </xdr:to>
    <xdr:graphicFrame macro="">
      <xdr:nvGraphicFramePr>
        <xdr:cNvPr id="22" name="Wykres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32</xdr:col>
      <xdr:colOff>0</xdr:colOff>
      <xdr:row>35</xdr:row>
      <xdr:rowOff>188611</xdr:rowOff>
    </xdr:from>
    <xdr:to>
      <xdr:col>41</xdr:col>
      <xdr:colOff>356823</xdr:colOff>
      <xdr:row>56</xdr:row>
      <xdr:rowOff>188611</xdr:rowOff>
    </xdr:to>
    <xdr:graphicFrame macro="">
      <xdr:nvGraphicFramePr>
        <xdr:cNvPr id="25" name="Wykres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41</xdr:col>
      <xdr:colOff>340181</xdr:colOff>
      <xdr:row>15</xdr:row>
      <xdr:rowOff>0</xdr:rowOff>
    </xdr:from>
    <xdr:to>
      <xdr:col>51</xdr:col>
      <xdr:colOff>84683</xdr:colOff>
      <xdr:row>36</xdr:row>
      <xdr:rowOff>0</xdr:rowOff>
    </xdr:to>
    <xdr:graphicFrame macro="">
      <xdr:nvGraphicFramePr>
        <xdr:cNvPr id="28" name="Wykres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41</xdr:col>
      <xdr:colOff>340178</xdr:colOff>
      <xdr:row>35</xdr:row>
      <xdr:rowOff>183164</xdr:rowOff>
    </xdr:from>
    <xdr:to>
      <xdr:col>51</xdr:col>
      <xdr:colOff>84680</xdr:colOff>
      <xdr:row>56</xdr:row>
      <xdr:rowOff>183164</xdr:rowOff>
    </xdr:to>
    <xdr:graphicFrame macro="">
      <xdr:nvGraphicFramePr>
        <xdr:cNvPr id="30" name="Wykres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26</xdr:col>
      <xdr:colOff>0</xdr:colOff>
      <xdr:row>95</xdr:row>
      <xdr:rowOff>0</xdr:rowOff>
    </xdr:from>
    <xdr:to>
      <xdr:col>35</xdr:col>
      <xdr:colOff>590177</xdr:colOff>
      <xdr:row>112</xdr:row>
      <xdr:rowOff>0</xdr:rowOff>
    </xdr:to>
    <xdr:graphicFrame macro="">
      <xdr:nvGraphicFramePr>
        <xdr:cNvPr id="23" name="Wykres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35</xdr:col>
      <xdr:colOff>593911</xdr:colOff>
      <xdr:row>95</xdr:row>
      <xdr:rowOff>0</xdr:rowOff>
    </xdr:from>
    <xdr:to>
      <xdr:col>45</xdr:col>
      <xdr:colOff>338412</xdr:colOff>
      <xdr:row>112</xdr:row>
      <xdr:rowOff>11207</xdr:rowOff>
    </xdr:to>
    <xdr:graphicFrame macro="">
      <xdr:nvGraphicFramePr>
        <xdr:cNvPr id="24" name="Wykres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26</xdr:col>
      <xdr:colOff>0</xdr:colOff>
      <xdr:row>115</xdr:row>
      <xdr:rowOff>0</xdr:rowOff>
    </xdr:from>
    <xdr:to>
      <xdr:col>36</xdr:col>
      <xdr:colOff>11936</xdr:colOff>
      <xdr:row>132</xdr:row>
      <xdr:rowOff>11207</xdr:rowOff>
    </xdr:to>
    <xdr:graphicFrame macro="">
      <xdr:nvGraphicFramePr>
        <xdr:cNvPr id="32" name="Wykres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36</xdr:col>
      <xdr:colOff>11206</xdr:colOff>
      <xdr:row>115</xdr:row>
      <xdr:rowOff>0</xdr:rowOff>
    </xdr:from>
    <xdr:to>
      <xdr:col>45</xdr:col>
      <xdr:colOff>373340</xdr:colOff>
      <xdr:row>132</xdr:row>
      <xdr:rowOff>11207</xdr:rowOff>
    </xdr:to>
    <xdr:graphicFrame macro="">
      <xdr:nvGraphicFramePr>
        <xdr:cNvPr id="33" name="Wykres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53</xdr:col>
      <xdr:colOff>0</xdr:colOff>
      <xdr:row>46</xdr:row>
      <xdr:rowOff>1</xdr:rowOff>
    </xdr:from>
    <xdr:to>
      <xdr:col>62</xdr:col>
      <xdr:colOff>356823</xdr:colOff>
      <xdr:row>67</xdr:row>
      <xdr:rowOff>1</xdr:rowOff>
    </xdr:to>
    <xdr:graphicFrame macro="">
      <xdr:nvGraphicFramePr>
        <xdr:cNvPr id="26" name="Wykres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53</xdr:col>
      <xdr:colOff>0</xdr:colOff>
      <xdr:row>66</xdr:row>
      <xdr:rowOff>188611</xdr:rowOff>
    </xdr:from>
    <xdr:to>
      <xdr:col>62</xdr:col>
      <xdr:colOff>356823</xdr:colOff>
      <xdr:row>87</xdr:row>
      <xdr:rowOff>50065</xdr:rowOff>
    </xdr:to>
    <xdr:graphicFrame macro="">
      <xdr:nvGraphicFramePr>
        <xdr:cNvPr id="27" name="Wykres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62</xdr:col>
      <xdr:colOff>353785</xdr:colOff>
      <xdr:row>46</xdr:row>
      <xdr:rowOff>0</xdr:rowOff>
    </xdr:from>
    <xdr:to>
      <xdr:col>72</xdr:col>
      <xdr:colOff>98287</xdr:colOff>
      <xdr:row>67</xdr:row>
      <xdr:rowOff>0</xdr:rowOff>
    </xdr:to>
    <xdr:graphicFrame macro="">
      <xdr:nvGraphicFramePr>
        <xdr:cNvPr id="34" name="Wykres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62</xdr:col>
      <xdr:colOff>353785</xdr:colOff>
      <xdr:row>67</xdr:row>
      <xdr:rowOff>0</xdr:rowOff>
    </xdr:from>
    <xdr:to>
      <xdr:col>72</xdr:col>
      <xdr:colOff>98287</xdr:colOff>
      <xdr:row>87</xdr:row>
      <xdr:rowOff>51954</xdr:rowOff>
    </xdr:to>
    <xdr:graphicFrame macro="">
      <xdr:nvGraphicFramePr>
        <xdr:cNvPr id="35" name="Wykres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53</xdr:col>
      <xdr:colOff>0</xdr:colOff>
      <xdr:row>93</xdr:row>
      <xdr:rowOff>0</xdr:rowOff>
    </xdr:from>
    <xdr:to>
      <xdr:col>62</xdr:col>
      <xdr:colOff>356823</xdr:colOff>
      <xdr:row>113</xdr:row>
      <xdr:rowOff>51954</xdr:rowOff>
    </xdr:to>
    <xdr:graphicFrame macro="">
      <xdr:nvGraphicFramePr>
        <xdr:cNvPr id="40" name="Wykres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53</xdr:col>
      <xdr:colOff>0</xdr:colOff>
      <xdr:row>113</xdr:row>
      <xdr:rowOff>47628</xdr:rowOff>
    </xdr:from>
    <xdr:to>
      <xdr:col>62</xdr:col>
      <xdr:colOff>356823</xdr:colOff>
      <xdr:row>134</xdr:row>
      <xdr:rowOff>47628</xdr:rowOff>
    </xdr:to>
    <xdr:graphicFrame macro="">
      <xdr:nvGraphicFramePr>
        <xdr:cNvPr id="41" name="Wykres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62</xdr:col>
      <xdr:colOff>340181</xdr:colOff>
      <xdr:row>93</xdr:row>
      <xdr:rowOff>0</xdr:rowOff>
    </xdr:from>
    <xdr:to>
      <xdr:col>72</xdr:col>
      <xdr:colOff>84683</xdr:colOff>
      <xdr:row>113</xdr:row>
      <xdr:rowOff>51954</xdr:rowOff>
    </xdr:to>
    <xdr:graphicFrame macro="">
      <xdr:nvGraphicFramePr>
        <xdr:cNvPr id="42" name="Wykres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62</xdr:col>
      <xdr:colOff>340181</xdr:colOff>
      <xdr:row>113</xdr:row>
      <xdr:rowOff>47628</xdr:rowOff>
    </xdr:from>
    <xdr:to>
      <xdr:col>72</xdr:col>
      <xdr:colOff>84683</xdr:colOff>
      <xdr:row>134</xdr:row>
      <xdr:rowOff>47628</xdr:rowOff>
    </xdr:to>
    <xdr:graphicFrame macro="">
      <xdr:nvGraphicFramePr>
        <xdr:cNvPr id="43" name="Wykres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31</xdr:col>
      <xdr:colOff>0</xdr:colOff>
      <xdr:row>186</xdr:row>
      <xdr:rowOff>11205</xdr:rowOff>
    </xdr:from>
    <xdr:to>
      <xdr:col>40</xdr:col>
      <xdr:colOff>249918</xdr:colOff>
      <xdr:row>207</xdr:row>
      <xdr:rowOff>104774</xdr:rowOff>
    </xdr:to>
    <xdr:graphicFrame macro="">
      <xdr:nvGraphicFramePr>
        <xdr:cNvPr id="31" name="Wykres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40</xdr:col>
      <xdr:colOff>231321</xdr:colOff>
      <xdr:row>186</xdr:row>
      <xdr:rowOff>11205</xdr:rowOff>
    </xdr:from>
    <xdr:to>
      <xdr:col>49</xdr:col>
      <xdr:colOff>481239</xdr:colOff>
      <xdr:row>207</xdr:row>
      <xdr:rowOff>104774</xdr:rowOff>
    </xdr:to>
    <xdr:graphicFrame macro="">
      <xdr:nvGraphicFramePr>
        <xdr:cNvPr id="36" name="Wykres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31</xdr:col>
      <xdr:colOff>0</xdr:colOff>
      <xdr:row>208</xdr:row>
      <xdr:rowOff>142874</xdr:rowOff>
    </xdr:from>
    <xdr:to>
      <xdr:col>40</xdr:col>
      <xdr:colOff>238125</xdr:colOff>
      <xdr:row>230</xdr:row>
      <xdr:rowOff>38099</xdr:rowOff>
    </xdr:to>
    <xdr:graphicFrame macro="">
      <xdr:nvGraphicFramePr>
        <xdr:cNvPr id="37" name="Wykres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40</xdr:col>
      <xdr:colOff>231321</xdr:colOff>
      <xdr:row>208</xdr:row>
      <xdr:rowOff>142874</xdr:rowOff>
    </xdr:from>
    <xdr:to>
      <xdr:col>49</xdr:col>
      <xdr:colOff>469446</xdr:colOff>
      <xdr:row>230</xdr:row>
      <xdr:rowOff>38099</xdr:rowOff>
    </xdr:to>
    <xdr:graphicFrame macro="">
      <xdr:nvGraphicFramePr>
        <xdr:cNvPr id="38" name="Wykres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590550</xdr:colOff>
          <xdr:row>0</xdr:row>
          <xdr:rowOff>190500</xdr:rowOff>
        </xdr:from>
        <xdr:to>
          <xdr:col>31</xdr:col>
          <xdr:colOff>428625</xdr:colOff>
          <xdr:row>2</xdr:row>
          <xdr:rowOff>200025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GenerateDelta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457200</xdr:colOff>
          <xdr:row>4</xdr:row>
          <xdr:rowOff>28575</xdr:rowOff>
        </xdr:from>
        <xdr:to>
          <xdr:col>51</xdr:col>
          <xdr:colOff>333375</xdr:colOff>
          <xdr:row>6</xdr:row>
          <xdr:rowOff>171450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Przycisk 3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</xdr:row>
      <xdr:rowOff>0</xdr:rowOff>
    </xdr:from>
    <xdr:to>
      <xdr:col>8</xdr:col>
      <xdr:colOff>596900</xdr:colOff>
      <xdr:row>18</xdr:row>
      <xdr:rowOff>0</xdr:rowOff>
    </xdr:to>
    <xdr:graphicFrame macro="">
      <xdr:nvGraphicFramePr>
        <xdr:cNvPr id="10862" name="Wykres 10861">
          <a:extLst>
            <a:ext uri="{FF2B5EF4-FFF2-40B4-BE49-F238E27FC236}">
              <a16:creationId xmlns:a16="http://schemas.microsoft.com/office/drawing/2014/main" id="{00000000-0008-0000-0300-00006E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</xdr:row>
      <xdr:rowOff>0</xdr:rowOff>
    </xdr:from>
    <xdr:to>
      <xdr:col>17</xdr:col>
      <xdr:colOff>596900</xdr:colOff>
      <xdr:row>18</xdr:row>
      <xdr:rowOff>0</xdr:rowOff>
    </xdr:to>
    <xdr:graphicFrame macro="">
      <xdr:nvGraphicFramePr>
        <xdr:cNvPr id="10863" name="Wykres 10862">
          <a:extLst>
            <a:ext uri="{FF2B5EF4-FFF2-40B4-BE49-F238E27FC236}">
              <a16:creationId xmlns:a16="http://schemas.microsoft.com/office/drawing/2014/main" id="{00000000-0008-0000-0300-00006F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1</xdr:row>
      <xdr:rowOff>0</xdr:rowOff>
    </xdr:from>
    <xdr:to>
      <xdr:col>26</xdr:col>
      <xdr:colOff>596900</xdr:colOff>
      <xdr:row>18</xdr:row>
      <xdr:rowOff>0</xdr:rowOff>
    </xdr:to>
    <xdr:graphicFrame macro="">
      <xdr:nvGraphicFramePr>
        <xdr:cNvPr id="10864" name="Wykres 10863">
          <a:extLst>
            <a:ext uri="{FF2B5EF4-FFF2-40B4-BE49-F238E27FC236}">
              <a16:creationId xmlns:a16="http://schemas.microsoft.com/office/drawing/2014/main" id="{00000000-0008-0000-0300-000070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0</xdr:colOff>
      <xdr:row>1</xdr:row>
      <xdr:rowOff>0</xdr:rowOff>
    </xdr:from>
    <xdr:to>
      <xdr:col>35</xdr:col>
      <xdr:colOff>596900</xdr:colOff>
      <xdr:row>18</xdr:row>
      <xdr:rowOff>0</xdr:rowOff>
    </xdr:to>
    <xdr:graphicFrame macro="">
      <xdr:nvGraphicFramePr>
        <xdr:cNvPr id="10865" name="Wykres 10864">
          <a:extLst>
            <a:ext uri="{FF2B5EF4-FFF2-40B4-BE49-F238E27FC236}">
              <a16:creationId xmlns:a16="http://schemas.microsoft.com/office/drawing/2014/main" id="{00000000-0008-0000-0300-000071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0</xdr:colOff>
      <xdr:row>1</xdr:row>
      <xdr:rowOff>0</xdr:rowOff>
    </xdr:from>
    <xdr:to>
      <xdr:col>45</xdr:col>
      <xdr:colOff>139700</xdr:colOff>
      <xdr:row>18</xdr:row>
      <xdr:rowOff>0</xdr:rowOff>
    </xdr:to>
    <xdr:graphicFrame macro="">
      <xdr:nvGraphicFramePr>
        <xdr:cNvPr id="10866" name="Wykres 10865">
          <a:extLst>
            <a:ext uri="{FF2B5EF4-FFF2-40B4-BE49-F238E27FC236}">
              <a16:creationId xmlns:a16="http://schemas.microsoft.com/office/drawing/2014/main" id="{00000000-0008-0000-0300-000072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</xdr:row>
      <xdr:rowOff>0</xdr:rowOff>
    </xdr:from>
    <xdr:to>
      <xdr:col>8</xdr:col>
      <xdr:colOff>596900</xdr:colOff>
      <xdr:row>36</xdr:row>
      <xdr:rowOff>0</xdr:rowOff>
    </xdr:to>
    <xdr:graphicFrame macro="">
      <xdr:nvGraphicFramePr>
        <xdr:cNvPr id="10867" name="Wykres 10866">
          <a:extLst>
            <a:ext uri="{FF2B5EF4-FFF2-40B4-BE49-F238E27FC236}">
              <a16:creationId xmlns:a16="http://schemas.microsoft.com/office/drawing/2014/main" id="{00000000-0008-0000-0300-000073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19</xdr:row>
      <xdr:rowOff>0</xdr:rowOff>
    </xdr:from>
    <xdr:to>
      <xdr:col>17</xdr:col>
      <xdr:colOff>596900</xdr:colOff>
      <xdr:row>36</xdr:row>
      <xdr:rowOff>0</xdr:rowOff>
    </xdr:to>
    <xdr:graphicFrame macro="">
      <xdr:nvGraphicFramePr>
        <xdr:cNvPr id="10868" name="Wykres 10867">
          <a:extLst>
            <a:ext uri="{FF2B5EF4-FFF2-40B4-BE49-F238E27FC236}">
              <a16:creationId xmlns:a16="http://schemas.microsoft.com/office/drawing/2014/main" id="{00000000-0008-0000-0300-000074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0</xdr:colOff>
      <xdr:row>19</xdr:row>
      <xdr:rowOff>0</xdr:rowOff>
    </xdr:from>
    <xdr:to>
      <xdr:col>26</xdr:col>
      <xdr:colOff>596900</xdr:colOff>
      <xdr:row>36</xdr:row>
      <xdr:rowOff>0</xdr:rowOff>
    </xdr:to>
    <xdr:graphicFrame macro="">
      <xdr:nvGraphicFramePr>
        <xdr:cNvPr id="10869" name="Wykres 10868">
          <a:extLst>
            <a:ext uri="{FF2B5EF4-FFF2-40B4-BE49-F238E27FC236}">
              <a16:creationId xmlns:a16="http://schemas.microsoft.com/office/drawing/2014/main" id="{00000000-0008-0000-0300-000075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0</xdr:colOff>
      <xdr:row>19</xdr:row>
      <xdr:rowOff>0</xdr:rowOff>
    </xdr:from>
    <xdr:to>
      <xdr:col>35</xdr:col>
      <xdr:colOff>596900</xdr:colOff>
      <xdr:row>36</xdr:row>
      <xdr:rowOff>0</xdr:rowOff>
    </xdr:to>
    <xdr:graphicFrame macro="">
      <xdr:nvGraphicFramePr>
        <xdr:cNvPr id="10870" name="Wykres 10869">
          <a:extLst>
            <a:ext uri="{FF2B5EF4-FFF2-40B4-BE49-F238E27FC236}">
              <a16:creationId xmlns:a16="http://schemas.microsoft.com/office/drawing/2014/main" id="{00000000-0008-0000-0300-000076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0</xdr:colOff>
      <xdr:row>19</xdr:row>
      <xdr:rowOff>0</xdr:rowOff>
    </xdr:from>
    <xdr:to>
      <xdr:col>45</xdr:col>
      <xdr:colOff>139700</xdr:colOff>
      <xdr:row>36</xdr:row>
      <xdr:rowOff>0</xdr:rowOff>
    </xdr:to>
    <xdr:graphicFrame macro="">
      <xdr:nvGraphicFramePr>
        <xdr:cNvPr id="10871" name="Wykres 10870">
          <a:extLst>
            <a:ext uri="{FF2B5EF4-FFF2-40B4-BE49-F238E27FC236}">
              <a16:creationId xmlns:a16="http://schemas.microsoft.com/office/drawing/2014/main" id="{00000000-0008-0000-0300-000077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8</xdr:col>
      <xdr:colOff>596900</xdr:colOff>
      <xdr:row>54</xdr:row>
      <xdr:rowOff>0</xdr:rowOff>
    </xdr:to>
    <xdr:graphicFrame macro="">
      <xdr:nvGraphicFramePr>
        <xdr:cNvPr id="10872" name="Wykres 10871">
          <a:extLst>
            <a:ext uri="{FF2B5EF4-FFF2-40B4-BE49-F238E27FC236}">
              <a16:creationId xmlns:a16="http://schemas.microsoft.com/office/drawing/2014/main" id="{00000000-0008-0000-0300-000078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0</xdr:colOff>
      <xdr:row>37</xdr:row>
      <xdr:rowOff>0</xdr:rowOff>
    </xdr:from>
    <xdr:to>
      <xdr:col>17</xdr:col>
      <xdr:colOff>596900</xdr:colOff>
      <xdr:row>54</xdr:row>
      <xdr:rowOff>0</xdr:rowOff>
    </xdr:to>
    <xdr:graphicFrame macro="">
      <xdr:nvGraphicFramePr>
        <xdr:cNvPr id="10873" name="Wykres 10872">
          <a:extLst>
            <a:ext uri="{FF2B5EF4-FFF2-40B4-BE49-F238E27FC236}">
              <a16:creationId xmlns:a16="http://schemas.microsoft.com/office/drawing/2014/main" id="{00000000-0008-0000-0300-000079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37</xdr:row>
      <xdr:rowOff>0</xdr:rowOff>
    </xdr:from>
    <xdr:to>
      <xdr:col>26</xdr:col>
      <xdr:colOff>596900</xdr:colOff>
      <xdr:row>54</xdr:row>
      <xdr:rowOff>0</xdr:rowOff>
    </xdr:to>
    <xdr:graphicFrame macro="">
      <xdr:nvGraphicFramePr>
        <xdr:cNvPr id="10874" name="Wykres 10873">
          <a:extLst>
            <a:ext uri="{FF2B5EF4-FFF2-40B4-BE49-F238E27FC236}">
              <a16:creationId xmlns:a16="http://schemas.microsoft.com/office/drawing/2014/main" id="{00000000-0008-0000-0300-00007A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27</xdr:col>
      <xdr:colOff>0</xdr:colOff>
      <xdr:row>37</xdr:row>
      <xdr:rowOff>0</xdr:rowOff>
    </xdr:from>
    <xdr:to>
      <xdr:col>35</xdr:col>
      <xdr:colOff>596900</xdr:colOff>
      <xdr:row>54</xdr:row>
      <xdr:rowOff>0</xdr:rowOff>
    </xdr:to>
    <xdr:graphicFrame macro="">
      <xdr:nvGraphicFramePr>
        <xdr:cNvPr id="10875" name="Wykres 10874">
          <a:extLst>
            <a:ext uri="{FF2B5EF4-FFF2-40B4-BE49-F238E27FC236}">
              <a16:creationId xmlns:a16="http://schemas.microsoft.com/office/drawing/2014/main" id="{00000000-0008-0000-0300-00007B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36</xdr:col>
      <xdr:colOff>0</xdr:colOff>
      <xdr:row>37</xdr:row>
      <xdr:rowOff>0</xdr:rowOff>
    </xdr:from>
    <xdr:to>
      <xdr:col>45</xdr:col>
      <xdr:colOff>139700</xdr:colOff>
      <xdr:row>54</xdr:row>
      <xdr:rowOff>0</xdr:rowOff>
    </xdr:to>
    <xdr:graphicFrame macro="">
      <xdr:nvGraphicFramePr>
        <xdr:cNvPr id="10876" name="Wykres 10875">
          <a:extLst>
            <a:ext uri="{FF2B5EF4-FFF2-40B4-BE49-F238E27FC236}">
              <a16:creationId xmlns:a16="http://schemas.microsoft.com/office/drawing/2014/main" id="{00000000-0008-0000-0300-00007C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55</xdr:row>
      <xdr:rowOff>0</xdr:rowOff>
    </xdr:from>
    <xdr:to>
      <xdr:col>8</xdr:col>
      <xdr:colOff>596900</xdr:colOff>
      <xdr:row>72</xdr:row>
      <xdr:rowOff>0</xdr:rowOff>
    </xdr:to>
    <xdr:graphicFrame macro="">
      <xdr:nvGraphicFramePr>
        <xdr:cNvPr id="10877" name="Wykres 10876">
          <a:extLst>
            <a:ext uri="{FF2B5EF4-FFF2-40B4-BE49-F238E27FC236}">
              <a16:creationId xmlns:a16="http://schemas.microsoft.com/office/drawing/2014/main" id="{00000000-0008-0000-0300-00007D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0</xdr:colOff>
      <xdr:row>55</xdr:row>
      <xdr:rowOff>0</xdr:rowOff>
    </xdr:from>
    <xdr:to>
      <xdr:col>17</xdr:col>
      <xdr:colOff>596900</xdr:colOff>
      <xdr:row>72</xdr:row>
      <xdr:rowOff>0</xdr:rowOff>
    </xdr:to>
    <xdr:graphicFrame macro="">
      <xdr:nvGraphicFramePr>
        <xdr:cNvPr id="10878" name="Wykres 10877">
          <a:extLst>
            <a:ext uri="{FF2B5EF4-FFF2-40B4-BE49-F238E27FC236}">
              <a16:creationId xmlns:a16="http://schemas.microsoft.com/office/drawing/2014/main" id="{00000000-0008-0000-0300-00007E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18</xdr:col>
      <xdr:colOff>0</xdr:colOff>
      <xdr:row>55</xdr:row>
      <xdr:rowOff>0</xdr:rowOff>
    </xdr:from>
    <xdr:to>
      <xdr:col>26</xdr:col>
      <xdr:colOff>596900</xdr:colOff>
      <xdr:row>72</xdr:row>
      <xdr:rowOff>0</xdr:rowOff>
    </xdr:to>
    <xdr:graphicFrame macro="">
      <xdr:nvGraphicFramePr>
        <xdr:cNvPr id="10879" name="Wykres 10878">
          <a:extLst>
            <a:ext uri="{FF2B5EF4-FFF2-40B4-BE49-F238E27FC236}">
              <a16:creationId xmlns:a16="http://schemas.microsoft.com/office/drawing/2014/main" id="{00000000-0008-0000-0300-00007F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27</xdr:col>
      <xdr:colOff>0</xdr:colOff>
      <xdr:row>55</xdr:row>
      <xdr:rowOff>0</xdr:rowOff>
    </xdr:from>
    <xdr:to>
      <xdr:col>35</xdr:col>
      <xdr:colOff>596900</xdr:colOff>
      <xdr:row>72</xdr:row>
      <xdr:rowOff>0</xdr:rowOff>
    </xdr:to>
    <xdr:graphicFrame macro="">
      <xdr:nvGraphicFramePr>
        <xdr:cNvPr id="10880" name="Wykres 10879">
          <a:extLst>
            <a:ext uri="{FF2B5EF4-FFF2-40B4-BE49-F238E27FC236}">
              <a16:creationId xmlns:a16="http://schemas.microsoft.com/office/drawing/2014/main" id="{00000000-0008-0000-0300-000080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36</xdr:col>
      <xdr:colOff>0</xdr:colOff>
      <xdr:row>55</xdr:row>
      <xdr:rowOff>0</xdr:rowOff>
    </xdr:from>
    <xdr:to>
      <xdr:col>45</xdr:col>
      <xdr:colOff>139700</xdr:colOff>
      <xdr:row>72</xdr:row>
      <xdr:rowOff>0</xdr:rowOff>
    </xdr:to>
    <xdr:graphicFrame macro="">
      <xdr:nvGraphicFramePr>
        <xdr:cNvPr id="10881" name="Wykres 10880">
          <a:extLst>
            <a:ext uri="{FF2B5EF4-FFF2-40B4-BE49-F238E27FC236}">
              <a16:creationId xmlns:a16="http://schemas.microsoft.com/office/drawing/2014/main" id="{00000000-0008-0000-0300-000081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73</xdr:row>
      <xdr:rowOff>0</xdr:rowOff>
    </xdr:from>
    <xdr:to>
      <xdr:col>8</xdr:col>
      <xdr:colOff>596900</xdr:colOff>
      <xdr:row>90</xdr:row>
      <xdr:rowOff>0</xdr:rowOff>
    </xdr:to>
    <xdr:graphicFrame macro="">
      <xdr:nvGraphicFramePr>
        <xdr:cNvPr id="10882" name="Wykres 10881">
          <a:extLst>
            <a:ext uri="{FF2B5EF4-FFF2-40B4-BE49-F238E27FC236}">
              <a16:creationId xmlns:a16="http://schemas.microsoft.com/office/drawing/2014/main" id="{00000000-0008-0000-0300-000082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</xdr:col>
      <xdr:colOff>0</xdr:colOff>
      <xdr:row>73</xdr:row>
      <xdr:rowOff>0</xdr:rowOff>
    </xdr:from>
    <xdr:to>
      <xdr:col>17</xdr:col>
      <xdr:colOff>596900</xdr:colOff>
      <xdr:row>90</xdr:row>
      <xdr:rowOff>0</xdr:rowOff>
    </xdr:to>
    <xdr:graphicFrame macro="">
      <xdr:nvGraphicFramePr>
        <xdr:cNvPr id="10883" name="Wykres 10882">
          <a:extLst>
            <a:ext uri="{FF2B5EF4-FFF2-40B4-BE49-F238E27FC236}">
              <a16:creationId xmlns:a16="http://schemas.microsoft.com/office/drawing/2014/main" id="{00000000-0008-0000-0300-000083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18</xdr:col>
      <xdr:colOff>0</xdr:colOff>
      <xdr:row>73</xdr:row>
      <xdr:rowOff>0</xdr:rowOff>
    </xdr:from>
    <xdr:to>
      <xdr:col>26</xdr:col>
      <xdr:colOff>596900</xdr:colOff>
      <xdr:row>90</xdr:row>
      <xdr:rowOff>0</xdr:rowOff>
    </xdr:to>
    <xdr:graphicFrame macro="">
      <xdr:nvGraphicFramePr>
        <xdr:cNvPr id="10884" name="Wykres 10883">
          <a:extLst>
            <a:ext uri="{FF2B5EF4-FFF2-40B4-BE49-F238E27FC236}">
              <a16:creationId xmlns:a16="http://schemas.microsoft.com/office/drawing/2014/main" id="{00000000-0008-0000-0300-000084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27</xdr:col>
      <xdr:colOff>0</xdr:colOff>
      <xdr:row>73</xdr:row>
      <xdr:rowOff>0</xdr:rowOff>
    </xdr:from>
    <xdr:to>
      <xdr:col>35</xdr:col>
      <xdr:colOff>596900</xdr:colOff>
      <xdr:row>90</xdr:row>
      <xdr:rowOff>0</xdr:rowOff>
    </xdr:to>
    <xdr:graphicFrame macro="">
      <xdr:nvGraphicFramePr>
        <xdr:cNvPr id="10885" name="Wykres 10884">
          <a:extLst>
            <a:ext uri="{FF2B5EF4-FFF2-40B4-BE49-F238E27FC236}">
              <a16:creationId xmlns:a16="http://schemas.microsoft.com/office/drawing/2014/main" id="{00000000-0008-0000-0300-000085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36</xdr:col>
      <xdr:colOff>0</xdr:colOff>
      <xdr:row>73</xdr:row>
      <xdr:rowOff>0</xdr:rowOff>
    </xdr:from>
    <xdr:to>
      <xdr:col>45</xdr:col>
      <xdr:colOff>139700</xdr:colOff>
      <xdr:row>90</xdr:row>
      <xdr:rowOff>0</xdr:rowOff>
    </xdr:to>
    <xdr:graphicFrame macro="">
      <xdr:nvGraphicFramePr>
        <xdr:cNvPr id="10886" name="Wykres 10885">
          <a:extLst>
            <a:ext uri="{FF2B5EF4-FFF2-40B4-BE49-F238E27FC236}">
              <a16:creationId xmlns:a16="http://schemas.microsoft.com/office/drawing/2014/main" id="{00000000-0008-0000-0300-000086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91</xdr:row>
      <xdr:rowOff>0</xdr:rowOff>
    </xdr:from>
    <xdr:to>
      <xdr:col>8</xdr:col>
      <xdr:colOff>596900</xdr:colOff>
      <xdr:row>108</xdr:row>
      <xdr:rowOff>0</xdr:rowOff>
    </xdr:to>
    <xdr:graphicFrame macro="">
      <xdr:nvGraphicFramePr>
        <xdr:cNvPr id="10887" name="Wykres 10886">
          <a:extLst>
            <a:ext uri="{FF2B5EF4-FFF2-40B4-BE49-F238E27FC236}">
              <a16:creationId xmlns:a16="http://schemas.microsoft.com/office/drawing/2014/main" id="{00000000-0008-0000-0300-000087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9</xdr:col>
      <xdr:colOff>0</xdr:colOff>
      <xdr:row>91</xdr:row>
      <xdr:rowOff>0</xdr:rowOff>
    </xdr:from>
    <xdr:to>
      <xdr:col>17</xdr:col>
      <xdr:colOff>596900</xdr:colOff>
      <xdr:row>108</xdr:row>
      <xdr:rowOff>0</xdr:rowOff>
    </xdr:to>
    <xdr:graphicFrame macro="">
      <xdr:nvGraphicFramePr>
        <xdr:cNvPr id="10888" name="Wykres 10887">
          <a:extLst>
            <a:ext uri="{FF2B5EF4-FFF2-40B4-BE49-F238E27FC236}">
              <a16:creationId xmlns:a16="http://schemas.microsoft.com/office/drawing/2014/main" id="{00000000-0008-0000-0300-000088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18</xdr:col>
      <xdr:colOff>0</xdr:colOff>
      <xdr:row>91</xdr:row>
      <xdr:rowOff>0</xdr:rowOff>
    </xdr:from>
    <xdr:to>
      <xdr:col>26</xdr:col>
      <xdr:colOff>596900</xdr:colOff>
      <xdr:row>108</xdr:row>
      <xdr:rowOff>0</xdr:rowOff>
    </xdr:to>
    <xdr:graphicFrame macro="">
      <xdr:nvGraphicFramePr>
        <xdr:cNvPr id="10889" name="Wykres 10888">
          <a:extLst>
            <a:ext uri="{FF2B5EF4-FFF2-40B4-BE49-F238E27FC236}">
              <a16:creationId xmlns:a16="http://schemas.microsoft.com/office/drawing/2014/main" id="{00000000-0008-0000-0300-000089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27</xdr:col>
      <xdr:colOff>0</xdr:colOff>
      <xdr:row>91</xdr:row>
      <xdr:rowOff>0</xdr:rowOff>
    </xdr:from>
    <xdr:to>
      <xdr:col>35</xdr:col>
      <xdr:colOff>596900</xdr:colOff>
      <xdr:row>108</xdr:row>
      <xdr:rowOff>0</xdr:rowOff>
    </xdr:to>
    <xdr:graphicFrame macro="">
      <xdr:nvGraphicFramePr>
        <xdr:cNvPr id="10890" name="Wykres 10889">
          <a:extLst>
            <a:ext uri="{FF2B5EF4-FFF2-40B4-BE49-F238E27FC236}">
              <a16:creationId xmlns:a16="http://schemas.microsoft.com/office/drawing/2014/main" id="{00000000-0008-0000-0300-00008A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36</xdr:col>
      <xdr:colOff>0</xdr:colOff>
      <xdr:row>91</xdr:row>
      <xdr:rowOff>0</xdr:rowOff>
    </xdr:from>
    <xdr:to>
      <xdr:col>45</xdr:col>
      <xdr:colOff>139700</xdr:colOff>
      <xdr:row>108</xdr:row>
      <xdr:rowOff>0</xdr:rowOff>
    </xdr:to>
    <xdr:graphicFrame macro="">
      <xdr:nvGraphicFramePr>
        <xdr:cNvPr id="10891" name="Wykres 10890">
          <a:extLst>
            <a:ext uri="{FF2B5EF4-FFF2-40B4-BE49-F238E27FC236}">
              <a16:creationId xmlns:a16="http://schemas.microsoft.com/office/drawing/2014/main" id="{00000000-0008-0000-0300-00008B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109</xdr:row>
      <xdr:rowOff>0</xdr:rowOff>
    </xdr:from>
    <xdr:to>
      <xdr:col>8</xdr:col>
      <xdr:colOff>596900</xdr:colOff>
      <xdr:row>126</xdr:row>
      <xdr:rowOff>0</xdr:rowOff>
    </xdr:to>
    <xdr:graphicFrame macro="">
      <xdr:nvGraphicFramePr>
        <xdr:cNvPr id="10892" name="Wykres 10891">
          <a:extLst>
            <a:ext uri="{FF2B5EF4-FFF2-40B4-BE49-F238E27FC236}">
              <a16:creationId xmlns:a16="http://schemas.microsoft.com/office/drawing/2014/main" id="{00000000-0008-0000-0300-00008C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9</xdr:col>
      <xdr:colOff>0</xdr:colOff>
      <xdr:row>109</xdr:row>
      <xdr:rowOff>0</xdr:rowOff>
    </xdr:from>
    <xdr:to>
      <xdr:col>17</xdr:col>
      <xdr:colOff>596900</xdr:colOff>
      <xdr:row>126</xdr:row>
      <xdr:rowOff>0</xdr:rowOff>
    </xdr:to>
    <xdr:graphicFrame macro="">
      <xdr:nvGraphicFramePr>
        <xdr:cNvPr id="10893" name="Wykres 10892">
          <a:extLst>
            <a:ext uri="{FF2B5EF4-FFF2-40B4-BE49-F238E27FC236}">
              <a16:creationId xmlns:a16="http://schemas.microsoft.com/office/drawing/2014/main" id="{00000000-0008-0000-0300-00008D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18</xdr:col>
      <xdr:colOff>0</xdr:colOff>
      <xdr:row>109</xdr:row>
      <xdr:rowOff>0</xdr:rowOff>
    </xdr:from>
    <xdr:to>
      <xdr:col>26</xdr:col>
      <xdr:colOff>596900</xdr:colOff>
      <xdr:row>126</xdr:row>
      <xdr:rowOff>0</xdr:rowOff>
    </xdr:to>
    <xdr:graphicFrame macro="">
      <xdr:nvGraphicFramePr>
        <xdr:cNvPr id="10894" name="Wykres 10893">
          <a:extLst>
            <a:ext uri="{FF2B5EF4-FFF2-40B4-BE49-F238E27FC236}">
              <a16:creationId xmlns:a16="http://schemas.microsoft.com/office/drawing/2014/main" id="{00000000-0008-0000-0300-00008E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27</xdr:col>
      <xdr:colOff>0</xdr:colOff>
      <xdr:row>109</xdr:row>
      <xdr:rowOff>0</xdr:rowOff>
    </xdr:from>
    <xdr:to>
      <xdr:col>35</xdr:col>
      <xdr:colOff>596900</xdr:colOff>
      <xdr:row>126</xdr:row>
      <xdr:rowOff>0</xdr:rowOff>
    </xdr:to>
    <xdr:graphicFrame macro="">
      <xdr:nvGraphicFramePr>
        <xdr:cNvPr id="10895" name="Wykres 10894">
          <a:extLst>
            <a:ext uri="{FF2B5EF4-FFF2-40B4-BE49-F238E27FC236}">
              <a16:creationId xmlns:a16="http://schemas.microsoft.com/office/drawing/2014/main" id="{00000000-0008-0000-0300-00008F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36</xdr:col>
      <xdr:colOff>0</xdr:colOff>
      <xdr:row>109</xdr:row>
      <xdr:rowOff>0</xdr:rowOff>
    </xdr:from>
    <xdr:to>
      <xdr:col>45</xdr:col>
      <xdr:colOff>139700</xdr:colOff>
      <xdr:row>126</xdr:row>
      <xdr:rowOff>0</xdr:rowOff>
    </xdr:to>
    <xdr:graphicFrame macro="">
      <xdr:nvGraphicFramePr>
        <xdr:cNvPr id="10896" name="Wykres 10895">
          <a:extLst>
            <a:ext uri="{FF2B5EF4-FFF2-40B4-BE49-F238E27FC236}">
              <a16:creationId xmlns:a16="http://schemas.microsoft.com/office/drawing/2014/main" id="{00000000-0008-0000-0300-000090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1</xdr:row>
          <xdr:rowOff>123825</xdr:rowOff>
        </xdr:from>
        <xdr:to>
          <xdr:col>6</xdr:col>
          <xdr:colOff>514350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selected dates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52A5D-86AB-4DD2-A620-7FEADFBCD730}">
  <sheetPr codeName="Arkusz6">
    <pageSetUpPr fitToPage="1"/>
  </sheetPr>
  <dimension ref="A1:EW116"/>
  <sheetViews>
    <sheetView zoomScale="85" zoomScaleNormal="85" workbookViewId="0">
      <selection activeCell="AA19" sqref="AA19"/>
    </sheetView>
  </sheetViews>
  <sheetFormatPr defaultRowHeight="15" x14ac:dyDescent="0.25"/>
  <cols>
    <col min="1" max="1" width="12.7109375" customWidth="1"/>
    <col min="2" max="2" width="3.28515625" customWidth="1"/>
    <col min="3" max="5" width="8" style="41" customWidth="1"/>
    <col min="6" max="7" width="8" style="61" customWidth="1"/>
    <col min="8" max="10" width="8" style="41" customWidth="1"/>
    <col min="11" max="12" width="8" style="61" customWidth="1"/>
    <col min="13" max="15" width="8" style="41" customWidth="1"/>
    <col min="16" max="17" width="8" style="61" customWidth="1"/>
    <col min="18" max="20" width="8" style="41" customWidth="1"/>
    <col min="21" max="22" width="8" style="61" customWidth="1"/>
    <col min="23" max="25" width="8" style="41" customWidth="1"/>
    <col min="26" max="27" width="8" style="61" customWidth="1"/>
    <col min="29" max="29" width="7.28515625" style="67" customWidth="1"/>
    <col min="30" max="30" width="66.28515625" style="67" customWidth="1"/>
  </cols>
  <sheetData>
    <row r="1" spans="1:153" s="2" customFormat="1" x14ac:dyDescent="0.25">
      <c r="A1" s="5"/>
      <c r="B1" s="33" t="s">
        <v>12</v>
      </c>
      <c r="C1" s="49"/>
      <c r="D1" s="50"/>
      <c r="E1" s="50" t="s">
        <v>3</v>
      </c>
      <c r="F1" s="57"/>
      <c r="G1" s="58"/>
      <c r="H1" s="54"/>
      <c r="I1" s="54"/>
      <c r="J1" s="54" t="s">
        <v>4</v>
      </c>
      <c r="K1" s="62"/>
      <c r="L1" s="63"/>
      <c r="M1" s="50"/>
      <c r="N1" s="50"/>
      <c r="O1" s="50" t="s">
        <v>5</v>
      </c>
      <c r="P1" s="57"/>
      <c r="Q1" s="58"/>
      <c r="R1" s="54"/>
      <c r="S1" s="54"/>
      <c r="T1" s="54" t="s">
        <v>6</v>
      </c>
      <c r="U1" s="62"/>
      <c r="V1" s="63"/>
      <c r="W1" s="50"/>
      <c r="X1" s="50"/>
      <c r="Y1" s="50" t="s">
        <v>35</v>
      </c>
      <c r="Z1" s="57"/>
      <c r="AA1" s="66"/>
      <c r="AC1" s="72" t="s">
        <v>25</v>
      </c>
      <c r="AD1" s="72"/>
    </row>
    <row r="2" spans="1:153" s="3" customFormat="1" ht="15" customHeight="1" thickBot="1" x14ac:dyDescent="0.3">
      <c r="A2" s="12"/>
      <c r="B2" s="18"/>
      <c r="C2" s="51" t="s">
        <v>7</v>
      </c>
      <c r="D2" s="51" t="s">
        <v>8</v>
      </c>
      <c r="E2" s="51" t="s">
        <v>36</v>
      </c>
      <c r="F2" s="59" t="s">
        <v>10</v>
      </c>
      <c r="G2" s="60" t="s">
        <v>9</v>
      </c>
      <c r="H2" s="55" t="s">
        <v>7</v>
      </c>
      <c r="I2" s="55" t="s">
        <v>8</v>
      </c>
      <c r="J2" s="55" t="s">
        <v>36</v>
      </c>
      <c r="K2" s="64" t="s">
        <v>10</v>
      </c>
      <c r="L2" s="65" t="s">
        <v>9</v>
      </c>
      <c r="M2" s="51" t="s">
        <v>7</v>
      </c>
      <c r="N2" s="51" t="s">
        <v>8</v>
      </c>
      <c r="O2" s="51" t="s">
        <v>36</v>
      </c>
      <c r="P2" s="59" t="s">
        <v>10</v>
      </c>
      <c r="Q2" s="60" t="s">
        <v>9</v>
      </c>
      <c r="R2" s="55" t="s">
        <v>7</v>
      </c>
      <c r="S2" s="55" t="s">
        <v>8</v>
      </c>
      <c r="T2" s="55" t="s">
        <v>36</v>
      </c>
      <c r="U2" s="64" t="s">
        <v>10</v>
      </c>
      <c r="V2" s="65" t="s">
        <v>9</v>
      </c>
      <c r="W2" s="51" t="s">
        <v>7</v>
      </c>
      <c r="X2" s="51" t="s">
        <v>8</v>
      </c>
      <c r="Y2" s="51" t="s">
        <v>36</v>
      </c>
      <c r="Z2" s="59" t="s">
        <v>10</v>
      </c>
      <c r="AA2" s="60" t="s">
        <v>9</v>
      </c>
      <c r="AC2" s="73" t="s">
        <v>7</v>
      </c>
      <c r="AD2" s="70" t="s">
        <v>26</v>
      </c>
    </row>
    <row r="3" spans="1:153" ht="15" customHeight="1" thickTop="1" thickBot="1" x14ac:dyDescent="0.3">
      <c r="A3" s="31" t="s">
        <v>14</v>
      </c>
      <c r="B3" s="32">
        <v>1</v>
      </c>
      <c r="C3" s="92">
        <v>21.080000000000002</v>
      </c>
      <c r="D3" s="88">
        <v>2.7679999999999998</v>
      </c>
      <c r="E3" s="89">
        <v>18.312000000000005</v>
      </c>
      <c r="F3" s="88">
        <v>1.4</v>
      </c>
      <c r="G3" s="90">
        <v>4.4000000000000004</v>
      </c>
      <c r="H3" s="91">
        <v>22.643999999999998</v>
      </c>
      <c r="I3" s="88">
        <v>9.3879999999999999</v>
      </c>
      <c r="J3" s="88">
        <v>13.256</v>
      </c>
      <c r="K3" s="88">
        <v>2.4</v>
      </c>
      <c r="L3" s="90">
        <v>4.5999999999999996</v>
      </c>
      <c r="M3" s="91">
        <v>26.354000000000003</v>
      </c>
      <c r="N3" s="88">
        <v>10.802000000000001</v>
      </c>
      <c r="O3" s="88">
        <v>15.551999999999998</v>
      </c>
      <c r="P3" s="88">
        <v>2.4</v>
      </c>
      <c r="Q3" s="90">
        <v>6.2</v>
      </c>
      <c r="R3" s="91">
        <v>18.713999999999999</v>
      </c>
      <c r="S3" s="88">
        <v>7.0280000000000005</v>
      </c>
      <c r="T3" s="88">
        <v>11.686</v>
      </c>
      <c r="U3" s="88">
        <v>1.6</v>
      </c>
      <c r="V3" s="90">
        <v>3.6</v>
      </c>
      <c r="W3" s="91">
        <v>23.78</v>
      </c>
      <c r="X3" s="88">
        <v>10.443999999999999</v>
      </c>
      <c r="Y3" s="88">
        <v>13.336000000000002</v>
      </c>
      <c r="Z3" s="88">
        <v>2.8</v>
      </c>
      <c r="AA3" s="90">
        <v>5.4</v>
      </c>
      <c r="AB3" s="1"/>
      <c r="AC3" s="74" t="s">
        <v>8</v>
      </c>
      <c r="AD3" s="71" t="s">
        <v>27</v>
      </c>
      <c r="BA3" s="1"/>
      <c r="BC3" s="1"/>
      <c r="BZ3" s="1"/>
      <c r="CY3" s="1"/>
      <c r="DA3" s="1"/>
      <c r="DX3" s="1"/>
      <c r="EW3" s="1" t="s">
        <v>0</v>
      </c>
    </row>
    <row r="4" spans="1:153" ht="15" customHeight="1" thickTop="1" thickBot="1" x14ac:dyDescent="0.3">
      <c r="A4" s="31" t="s">
        <v>14</v>
      </c>
      <c r="B4" s="32">
        <v>2</v>
      </c>
      <c r="C4" s="92">
        <v>10.4</v>
      </c>
      <c r="D4" s="88">
        <v>2.7679999999999998</v>
      </c>
      <c r="E4" s="89">
        <v>7.6319999999999997</v>
      </c>
      <c r="F4" s="88">
        <v>1</v>
      </c>
      <c r="G4" s="90">
        <v>3.6</v>
      </c>
      <c r="H4" s="91">
        <v>15.134</v>
      </c>
      <c r="I4" s="88">
        <v>5.9679999999999991</v>
      </c>
      <c r="J4" s="88">
        <v>9.1660000000000004</v>
      </c>
      <c r="K4" s="88">
        <v>2.6</v>
      </c>
      <c r="L4" s="90">
        <v>5.2</v>
      </c>
      <c r="M4" s="91">
        <v>19.494</v>
      </c>
      <c r="N4" s="88">
        <v>11.012</v>
      </c>
      <c r="O4" s="88">
        <v>8.4819999999999993</v>
      </c>
      <c r="P4" s="88">
        <v>1</v>
      </c>
      <c r="Q4" s="90">
        <v>3.6</v>
      </c>
      <c r="R4" s="91">
        <v>13.086000000000002</v>
      </c>
      <c r="S4" s="88">
        <v>3.754</v>
      </c>
      <c r="T4" s="88">
        <v>9.331999999999999</v>
      </c>
      <c r="U4" s="88">
        <v>1</v>
      </c>
      <c r="V4" s="90">
        <v>3.6</v>
      </c>
      <c r="W4" s="91">
        <v>18.346</v>
      </c>
      <c r="X4" s="88">
        <v>7.0340000000000007</v>
      </c>
      <c r="Y4" s="88">
        <v>11.312000000000001</v>
      </c>
      <c r="Z4" s="88">
        <v>1</v>
      </c>
      <c r="AA4" s="90">
        <v>3.2</v>
      </c>
      <c r="AB4" s="1"/>
      <c r="AC4" s="74"/>
      <c r="AD4" s="71"/>
      <c r="BA4" s="1"/>
      <c r="BC4" s="1"/>
      <c r="BZ4" s="1"/>
      <c r="CY4" s="1"/>
      <c r="DA4" s="1"/>
      <c r="DX4" s="1"/>
      <c r="EW4" s="1"/>
    </row>
    <row r="5" spans="1:153" ht="15" customHeight="1" thickTop="1" thickBot="1" x14ac:dyDescent="0.3">
      <c r="A5" s="31" t="s">
        <v>37</v>
      </c>
      <c r="B5" s="32">
        <v>1</v>
      </c>
      <c r="C5" s="87">
        <v>17.57</v>
      </c>
      <c r="D5" s="88">
        <v>0</v>
      </c>
      <c r="E5" s="89">
        <v>14.790000000000001</v>
      </c>
      <c r="F5" s="88">
        <v>0</v>
      </c>
      <c r="G5" s="90">
        <v>3</v>
      </c>
      <c r="H5" s="91">
        <v>19.91</v>
      </c>
      <c r="I5" s="88">
        <v>6</v>
      </c>
      <c r="J5" s="88">
        <v>9.7100000000000009</v>
      </c>
      <c r="K5" s="88">
        <v>0</v>
      </c>
      <c r="L5" s="90">
        <v>0</v>
      </c>
      <c r="M5" s="91">
        <v>21.45</v>
      </c>
      <c r="N5" s="88">
        <v>9.8000000000000007</v>
      </c>
      <c r="O5" s="88">
        <v>10.459999999999999</v>
      </c>
      <c r="P5" s="88">
        <v>0</v>
      </c>
      <c r="Q5" s="90">
        <v>0</v>
      </c>
      <c r="R5" s="91">
        <v>12.29</v>
      </c>
      <c r="S5" s="88">
        <v>5.28</v>
      </c>
      <c r="T5" s="88">
        <v>7.0099999999999989</v>
      </c>
      <c r="U5" s="88">
        <v>0</v>
      </c>
      <c r="V5" s="90">
        <v>0</v>
      </c>
      <c r="W5" s="91">
        <v>18.84</v>
      </c>
      <c r="X5" s="88">
        <v>6.98</v>
      </c>
      <c r="Y5" s="88">
        <v>9.8200000000000021</v>
      </c>
      <c r="Z5" s="88">
        <v>0</v>
      </c>
      <c r="AA5" s="90">
        <v>3</v>
      </c>
      <c r="AB5" s="1"/>
      <c r="AC5" s="74" t="s">
        <v>11</v>
      </c>
      <c r="AD5" s="71" t="s">
        <v>28</v>
      </c>
      <c r="BA5" s="1"/>
      <c r="BC5" s="1"/>
      <c r="BZ5" s="1"/>
      <c r="CY5" s="1"/>
      <c r="DA5" s="1"/>
      <c r="DX5" s="1"/>
      <c r="EW5" s="1"/>
    </row>
    <row r="6" spans="1:153" ht="15" customHeight="1" thickTop="1" thickBot="1" x14ac:dyDescent="0.3">
      <c r="A6" s="31" t="s">
        <v>37</v>
      </c>
      <c r="B6" s="32">
        <v>2</v>
      </c>
      <c r="C6" s="87">
        <v>7.6</v>
      </c>
      <c r="D6" s="88">
        <v>2.75</v>
      </c>
      <c r="E6" s="89">
        <v>4.83</v>
      </c>
      <c r="F6" s="88">
        <v>0</v>
      </c>
      <c r="G6" s="90">
        <v>0</v>
      </c>
      <c r="H6" s="91">
        <v>10.69</v>
      </c>
      <c r="I6" s="88">
        <v>5.93</v>
      </c>
      <c r="J6" s="88">
        <v>4.7299999999999995</v>
      </c>
      <c r="K6" s="88">
        <v>0</v>
      </c>
      <c r="L6" s="90">
        <v>4</v>
      </c>
      <c r="M6" s="91">
        <v>16.02</v>
      </c>
      <c r="N6" s="88">
        <v>10.98</v>
      </c>
      <c r="O6" s="88">
        <v>5.0399999999999991</v>
      </c>
      <c r="P6" s="88">
        <v>0</v>
      </c>
      <c r="Q6" s="90">
        <v>0</v>
      </c>
      <c r="R6" s="91">
        <v>9.1199999999999992</v>
      </c>
      <c r="S6" s="88">
        <v>3.73</v>
      </c>
      <c r="T6" s="88">
        <v>5.3899999999999988</v>
      </c>
      <c r="U6" s="88">
        <v>0</v>
      </c>
      <c r="V6" s="90">
        <v>0</v>
      </c>
      <c r="W6" s="91">
        <v>12.01</v>
      </c>
      <c r="X6" s="88">
        <v>7.02</v>
      </c>
      <c r="Y6" s="88">
        <v>4.99</v>
      </c>
      <c r="Z6" s="88">
        <v>0</v>
      </c>
      <c r="AA6" s="90">
        <v>0</v>
      </c>
      <c r="AB6" s="1"/>
      <c r="AC6" s="74"/>
      <c r="AD6" s="71"/>
      <c r="BA6" s="1"/>
      <c r="BC6" s="1"/>
      <c r="BZ6" s="1"/>
      <c r="CY6" s="1"/>
      <c r="DA6" s="1"/>
      <c r="DX6" s="1"/>
      <c r="EW6" s="1"/>
    </row>
    <row r="7" spans="1:153" ht="15" customHeight="1" thickTop="1" thickBot="1" x14ac:dyDescent="0.3">
      <c r="A7" s="31" t="s">
        <v>13</v>
      </c>
      <c r="B7" s="32">
        <v>1</v>
      </c>
      <c r="C7" s="87">
        <v>19.36</v>
      </c>
      <c r="D7" s="88">
        <v>2.76</v>
      </c>
      <c r="E7" s="89">
        <v>16.59</v>
      </c>
      <c r="F7" s="88">
        <v>1</v>
      </c>
      <c r="G7" s="90">
        <v>4</v>
      </c>
      <c r="H7" s="91">
        <v>20.7</v>
      </c>
      <c r="I7" s="88">
        <v>10.199999999999999</v>
      </c>
      <c r="J7" s="88">
        <v>10.459999999999999</v>
      </c>
      <c r="K7" s="88">
        <v>2</v>
      </c>
      <c r="L7" s="90">
        <v>4</v>
      </c>
      <c r="M7" s="91">
        <v>22.56</v>
      </c>
      <c r="N7" s="88">
        <v>10.99</v>
      </c>
      <c r="O7" s="88">
        <v>11.489999999999998</v>
      </c>
      <c r="P7" s="88">
        <v>1</v>
      </c>
      <c r="Q7" s="90">
        <v>3</v>
      </c>
      <c r="R7" s="91">
        <v>17.579999999999998</v>
      </c>
      <c r="S7" s="88">
        <v>5.3</v>
      </c>
      <c r="T7" s="88">
        <v>9.6300000000000008</v>
      </c>
      <c r="U7" s="88">
        <v>1</v>
      </c>
      <c r="V7" s="90">
        <v>3</v>
      </c>
      <c r="W7" s="91">
        <v>18.920000000000002</v>
      </c>
      <c r="X7" s="88">
        <v>7.04</v>
      </c>
      <c r="Y7" s="88">
        <v>11.71</v>
      </c>
      <c r="Z7" s="88">
        <v>1</v>
      </c>
      <c r="AA7" s="90">
        <v>4</v>
      </c>
      <c r="AB7" s="1"/>
      <c r="AC7" s="74" t="s">
        <v>10</v>
      </c>
      <c r="AD7" s="71" t="s">
        <v>29</v>
      </c>
      <c r="BA7" s="1"/>
      <c r="BC7" s="1"/>
      <c r="BZ7" s="1"/>
      <c r="CY7" s="1"/>
      <c r="DA7" s="1"/>
      <c r="DX7" s="1"/>
      <c r="EW7" s="1" t="s">
        <v>0</v>
      </c>
    </row>
    <row r="8" spans="1:153" ht="15" customHeight="1" thickTop="1" thickBot="1" x14ac:dyDescent="0.3">
      <c r="A8" s="31" t="s">
        <v>13</v>
      </c>
      <c r="B8" s="32">
        <v>2</v>
      </c>
      <c r="C8" s="87">
        <v>7.9</v>
      </c>
      <c r="D8" s="88">
        <v>2.77</v>
      </c>
      <c r="E8" s="89">
        <v>5.1300000000000008</v>
      </c>
      <c r="F8" s="88">
        <v>1</v>
      </c>
      <c r="G8" s="90">
        <v>3</v>
      </c>
      <c r="H8" s="91">
        <v>12.15</v>
      </c>
      <c r="I8" s="88">
        <v>5.96</v>
      </c>
      <c r="J8" s="88">
        <v>6.2200000000000006</v>
      </c>
      <c r="K8" s="88">
        <v>2</v>
      </c>
      <c r="L8" s="90">
        <v>5</v>
      </c>
      <c r="M8" s="91">
        <v>16.88</v>
      </c>
      <c r="N8" s="88">
        <v>10.99</v>
      </c>
      <c r="O8" s="88">
        <v>5.8199999999999985</v>
      </c>
      <c r="P8" s="88">
        <v>1</v>
      </c>
      <c r="Q8" s="90">
        <v>3</v>
      </c>
      <c r="R8" s="91">
        <v>12.03</v>
      </c>
      <c r="S8" s="88">
        <v>3.75</v>
      </c>
      <c r="T8" s="88">
        <v>8.27</v>
      </c>
      <c r="U8" s="88">
        <v>1</v>
      </c>
      <c r="V8" s="90">
        <v>3</v>
      </c>
      <c r="W8" s="91">
        <v>17.98</v>
      </c>
      <c r="X8" s="88">
        <v>7.03</v>
      </c>
      <c r="Y8" s="88">
        <v>10.920000000000002</v>
      </c>
      <c r="Z8" s="88">
        <v>1</v>
      </c>
      <c r="AA8" s="90">
        <v>3</v>
      </c>
      <c r="AB8" s="1"/>
      <c r="AC8" s="74"/>
      <c r="AD8" s="71"/>
      <c r="BA8" s="1"/>
      <c r="BC8" s="1"/>
      <c r="BZ8" s="1"/>
      <c r="CY8" s="1"/>
      <c r="DA8" s="1"/>
      <c r="DX8" s="1"/>
      <c r="EW8" s="1"/>
    </row>
    <row r="9" spans="1:153" ht="15" customHeight="1" thickTop="1" thickBot="1" x14ac:dyDescent="0.3">
      <c r="A9" s="31" t="s">
        <v>39</v>
      </c>
      <c r="B9" s="32">
        <v>1</v>
      </c>
      <c r="C9" s="87">
        <v>23</v>
      </c>
      <c r="D9" s="88">
        <v>2.77</v>
      </c>
      <c r="E9" s="89">
        <v>20.23</v>
      </c>
      <c r="F9" s="88">
        <v>2</v>
      </c>
      <c r="G9" s="90">
        <v>5.5</v>
      </c>
      <c r="H9" s="91">
        <v>21.93</v>
      </c>
      <c r="I9" s="88">
        <v>10.24</v>
      </c>
      <c r="J9" s="88">
        <v>15.93</v>
      </c>
      <c r="K9" s="88">
        <v>3</v>
      </c>
      <c r="L9" s="90">
        <v>5.5</v>
      </c>
      <c r="M9" s="91">
        <v>28.29</v>
      </c>
      <c r="N9" s="88">
        <v>11.07</v>
      </c>
      <c r="O9" s="88">
        <v>17.239999999999998</v>
      </c>
      <c r="P9" s="88">
        <v>3</v>
      </c>
      <c r="Q9" s="90">
        <v>8</v>
      </c>
      <c r="R9" s="91">
        <v>21.5</v>
      </c>
      <c r="S9" s="88">
        <v>9.6</v>
      </c>
      <c r="T9" s="88">
        <v>13.319999999999999</v>
      </c>
      <c r="U9" s="88">
        <v>2</v>
      </c>
      <c r="V9" s="90">
        <v>4</v>
      </c>
      <c r="W9" s="91">
        <v>27.32</v>
      </c>
      <c r="X9" s="88">
        <v>11.31</v>
      </c>
      <c r="Y9" s="88">
        <v>11.880000000000003</v>
      </c>
      <c r="Z9" s="88">
        <v>4</v>
      </c>
      <c r="AA9" s="90">
        <v>7</v>
      </c>
      <c r="AB9" s="1"/>
      <c r="AC9" s="74" t="s">
        <v>9</v>
      </c>
      <c r="AD9" s="71" t="s">
        <v>30</v>
      </c>
      <c r="BA9" s="1"/>
      <c r="BC9" s="1"/>
      <c r="BZ9" s="1"/>
      <c r="CY9" s="1"/>
      <c r="DA9" s="1"/>
      <c r="DX9" s="1"/>
      <c r="EW9" s="1"/>
    </row>
    <row r="10" spans="1:153" ht="15" customHeight="1" thickTop="1" thickBot="1" x14ac:dyDescent="0.3">
      <c r="A10" s="31" t="s">
        <v>39</v>
      </c>
      <c r="B10" s="32">
        <v>2</v>
      </c>
      <c r="C10" s="87">
        <v>11.22</v>
      </c>
      <c r="D10" s="88">
        <v>2.78</v>
      </c>
      <c r="E10" s="89">
        <v>8.4700000000000006</v>
      </c>
      <c r="F10" s="88">
        <v>0</v>
      </c>
      <c r="G10" s="90">
        <v>4</v>
      </c>
      <c r="H10" s="91">
        <v>18.46</v>
      </c>
      <c r="I10" s="88">
        <v>5.99</v>
      </c>
      <c r="J10" s="88">
        <v>12.47</v>
      </c>
      <c r="K10" s="88">
        <v>3.5</v>
      </c>
      <c r="L10" s="90">
        <v>7</v>
      </c>
      <c r="M10" s="91">
        <v>23.844999999999999</v>
      </c>
      <c r="N10" s="88">
        <v>11.05</v>
      </c>
      <c r="O10" s="88">
        <v>10.029999999999999</v>
      </c>
      <c r="P10" s="88">
        <v>0</v>
      </c>
      <c r="Q10" s="90">
        <v>4</v>
      </c>
      <c r="R10" s="91">
        <v>15.03</v>
      </c>
      <c r="S10" s="88">
        <v>3.76</v>
      </c>
      <c r="T10" s="88">
        <v>11.28</v>
      </c>
      <c r="U10" s="88">
        <v>0</v>
      </c>
      <c r="V10" s="90">
        <v>4.5</v>
      </c>
      <c r="W10" s="91">
        <v>21.02</v>
      </c>
      <c r="X10" s="88">
        <v>7.06</v>
      </c>
      <c r="Y10" s="88">
        <v>13.989999999999998</v>
      </c>
      <c r="Z10" s="88">
        <v>0</v>
      </c>
      <c r="AA10" s="90">
        <v>4</v>
      </c>
      <c r="AB10" s="1"/>
      <c r="AC10" s="93"/>
      <c r="AD10" s="71"/>
      <c r="BA10" s="1"/>
      <c r="BC10" s="1"/>
      <c r="BZ10" s="1"/>
      <c r="CY10" s="1"/>
      <c r="DA10" s="1"/>
      <c r="DX10" s="1"/>
      <c r="EW10" s="1"/>
    </row>
    <row r="11" spans="1:153" ht="15" customHeight="1" thickTop="1" thickBot="1" x14ac:dyDescent="0.3">
      <c r="A11" s="31" t="s">
        <v>44</v>
      </c>
      <c r="B11" s="32">
        <v>1</v>
      </c>
      <c r="C11" s="94">
        <v>17.57</v>
      </c>
      <c r="D11" s="95">
        <v>2.76</v>
      </c>
      <c r="E11" s="96">
        <v>14.790000000000001</v>
      </c>
      <c r="F11" s="95">
        <v>1</v>
      </c>
      <c r="G11" s="97">
        <v>3</v>
      </c>
      <c r="H11" s="98">
        <v>19.91</v>
      </c>
      <c r="I11" s="95">
        <v>6</v>
      </c>
      <c r="J11" s="95">
        <v>9.7100000000000009</v>
      </c>
      <c r="K11" s="95">
        <v>2</v>
      </c>
      <c r="L11" s="97">
        <v>4</v>
      </c>
      <c r="M11" s="98">
        <v>21.45</v>
      </c>
      <c r="N11" s="95">
        <v>9.8000000000000007</v>
      </c>
      <c r="O11" s="95">
        <v>10.459999999999999</v>
      </c>
      <c r="P11" s="95">
        <v>1</v>
      </c>
      <c r="Q11" s="97">
        <v>3</v>
      </c>
      <c r="R11" s="98">
        <v>12.29</v>
      </c>
      <c r="S11" s="95">
        <v>5.28</v>
      </c>
      <c r="T11" s="95">
        <v>7.0099999999999989</v>
      </c>
      <c r="U11" s="95">
        <v>1</v>
      </c>
      <c r="V11" s="97">
        <v>3</v>
      </c>
      <c r="W11" s="98">
        <v>18.84</v>
      </c>
      <c r="X11" s="95">
        <v>6.98</v>
      </c>
      <c r="Y11" s="95">
        <v>9.8200000000000021</v>
      </c>
      <c r="Z11" s="95">
        <v>1</v>
      </c>
      <c r="AA11" s="97">
        <v>3</v>
      </c>
      <c r="AB11" s="1"/>
      <c r="AC11" s="93"/>
      <c r="AD11" s="71"/>
      <c r="BA11" s="1"/>
      <c r="BC11" s="1"/>
      <c r="BZ11" s="1"/>
      <c r="CY11" s="1"/>
      <c r="DA11" s="1"/>
      <c r="DX11" s="1"/>
      <c r="EW11" s="1"/>
    </row>
    <row r="12" spans="1:153" ht="15" customHeight="1" thickTop="1" thickBot="1" x14ac:dyDescent="0.3">
      <c r="A12" s="31" t="s">
        <v>44</v>
      </c>
      <c r="B12" s="32">
        <v>2</v>
      </c>
      <c r="C12" s="94">
        <v>7.6</v>
      </c>
      <c r="D12" s="95">
        <v>2.75</v>
      </c>
      <c r="E12" s="96">
        <v>4.83</v>
      </c>
      <c r="F12" s="95">
        <v>1</v>
      </c>
      <c r="G12" s="97">
        <v>3</v>
      </c>
      <c r="H12" s="98">
        <v>10.69</v>
      </c>
      <c r="I12" s="95">
        <v>5.93</v>
      </c>
      <c r="J12" s="95">
        <v>4.7299999999999995</v>
      </c>
      <c r="K12" s="95">
        <v>2</v>
      </c>
      <c r="L12" s="97">
        <v>4</v>
      </c>
      <c r="M12" s="98">
        <v>16.02</v>
      </c>
      <c r="N12" s="95">
        <v>10.98</v>
      </c>
      <c r="O12" s="95">
        <v>5.0399999999999991</v>
      </c>
      <c r="P12" s="95">
        <v>1</v>
      </c>
      <c r="Q12" s="97">
        <v>3</v>
      </c>
      <c r="R12" s="98">
        <v>9.1199999999999992</v>
      </c>
      <c r="S12" s="95">
        <v>3.73</v>
      </c>
      <c r="T12" s="95">
        <v>5.3899999999999988</v>
      </c>
      <c r="U12" s="95">
        <v>1</v>
      </c>
      <c r="V12" s="97">
        <v>3</v>
      </c>
      <c r="W12" s="98">
        <v>12.01</v>
      </c>
      <c r="X12" s="95">
        <v>7.02</v>
      </c>
      <c r="Y12" s="95">
        <v>4.99</v>
      </c>
      <c r="Z12" s="95">
        <v>1</v>
      </c>
      <c r="AA12" s="97">
        <v>3</v>
      </c>
      <c r="AB12" s="1"/>
      <c r="AC12" s="93"/>
      <c r="AD12" s="71"/>
      <c r="BA12" s="1"/>
      <c r="BC12" s="1"/>
      <c r="BZ12" s="1"/>
      <c r="CY12" s="1"/>
      <c r="DA12" s="1"/>
      <c r="DX12" s="1"/>
      <c r="EW12" s="1"/>
    </row>
    <row r="13" spans="1:153" ht="15" customHeight="1" thickTop="1" thickBot="1" x14ac:dyDescent="0.3">
      <c r="A13" s="31" t="s">
        <v>45</v>
      </c>
      <c r="B13" s="32">
        <v>1</v>
      </c>
      <c r="C13" s="94">
        <v>23.44</v>
      </c>
      <c r="D13" s="95">
        <v>2.78</v>
      </c>
      <c r="E13" s="96">
        <v>20.68</v>
      </c>
      <c r="F13" s="95">
        <v>2</v>
      </c>
      <c r="G13" s="97">
        <v>6</v>
      </c>
      <c r="H13" s="98">
        <v>29.87</v>
      </c>
      <c r="I13" s="95">
        <v>10.27</v>
      </c>
      <c r="J13" s="95">
        <v>19.600000000000001</v>
      </c>
      <c r="K13" s="95">
        <v>3</v>
      </c>
      <c r="L13" s="97">
        <v>6</v>
      </c>
      <c r="M13" s="98">
        <v>36.56</v>
      </c>
      <c r="N13" s="95">
        <v>11.1</v>
      </c>
      <c r="O13" s="95">
        <v>26.76</v>
      </c>
      <c r="P13" s="95">
        <v>5</v>
      </c>
      <c r="Q13" s="97">
        <v>11</v>
      </c>
      <c r="R13" s="98">
        <v>22.97</v>
      </c>
      <c r="S13" s="95">
        <v>9.65</v>
      </c>
      <c r="T13" s="95">
        <v>16.2</v>
      </c>
      <c r="U13" s="95">
        <v>2</v>
      </c>
      <c r="V13" s="97">
        <v>4</v>
      </c>
      <c r="W13" s="98">
        <v>32.72</v>
      </c>
      <c r="X13" s="95">
        <v>15.61</v>
      </c>
      <c r="Y13" s="95">
        <v>21.409999999999997</v>
      </c>
      <c r="Z13" s="95">
        <v>4</v>
      </c>
      <c r="AA13" s="97">
        <v>7</v>
      </c>
      <c r="AB13" s="1"/>
      <c r="AC13" s="93"/>
      <c r="AD13" s="71"/>
      <c r="BA13" s="1"/>
      <c r="BC13" s="1"/>
      <c r="BZ13" s="1"/>
      <c r="CY13" s="1"/>
      <c r="DA13" s="1"/>
      <c r="DX13" s="1"/>
      <c r="EW13" s="1"/>
    </row>
    <row r="14" spans="1:153" ht="15" customHeight="1" thickTop="1" thickBot="1" x14ac:dyDescent="0.3">
      <c r="A14" s="31" t="s">
        <v>45</v>
      </c>
      <c r="B14" s="32">
        <v>2</v>
      </c>
      <c r="C14" s="94">
        <v>16.41</v>
      </c>
      <c r="D14" s="95">
        <v>2.78</v>
      </c>
      <c r="E14" s="96">
        <v>13.64</v>
      </c>
      <c r="F14" s="95">
        <v>1</v>
      </c>
      <c r="G14" s="97">
        <v>4</v>
      </c>
      <c r="H14" s="98">
        <v>21.43</v>
      </c>
      <c r="I14" s="95">
        <v>5.99</v>
      </c>
      <c r="J14" s="95">
        <v>15.46</v>
      </c>
      <c r="K14" s="95">
        <v>4</v>
      </c>
      <c r="L14" s="97">
        <v>7</v>
      </c>
      <c r="M14" s="98">
        <v>26.67</v>
      </c>
      <c r="N14" s="95">
        <v>11.06</v>
      </c>
      <c r="O14" s="95">
        <v>15.630000000000003</v>
      </c>
      <c r="P14" s="95">
        <v>1</v>
      </c>
      <c r="Q14" s="97">
        <v>4</v>
      </c>
      <c r="R14" s="98">
        <v>16.829999999999998</v>
      </c>
      <c r="S14" s="95">
        <v>3.77</v>
      </c>
      <c r="T14" s="95">
        <v>13.059999999999999</v>
      </c>
      <c r="U14" s="95">
        <v>1</v>
      </c>
      <c r="V14" s="97">
        <v>5</v>
      </c>
      <c r="W14" s="98">
        <v>22.22</v>
      </c>
      <c r="X14" s="95">
        <v>7.06</v>
      </c>
      <c r="Y14" s="95">
        <v>15.189999999999998</v>
      </c>
      <c r="Z14" s="95">
        <v>1</v>
      </c>
      <c r="AA14" s="97">
        <v>4</v>
      </c>
      <c r="AB14" s="1"/>
      <c r="AC14" s="93"/>
      <c r="AD14" s="71"/>
      <c r="BA14" s="1"/>
      <c r="BC14" s="1"/>
      <c r="BZ14" s="1"/>
      <c r="CY14" s="1"/>
      <c r="DA14" s="1"/>
      <c r="DX14" s="1"/>
      <c r="EW14" s="1"/>
    </row>
    <row r="15" spans="1:153" ht="15" customHeight="1" thickTop="1" thickBot="1" x14ac:dyDescent="0.3">
      <c r="A15" s="31" t="s">
        <v>23</v>
      </c>
      <c r="B15" s="32">
        <v>1</v>
      </c>
      <c r="C15" s="53">
        <v>5.870000000000001</v>
      </c>
      <c r="D15" s="52">
        <v>2.0000000000000018E-2</v>
      </c>
      <c r="E15" s="75">
        <v>5.8899999999999988</v>
      </c>
      <c r="F15" s="52">
        <v>1</v>
      </c>
      <c r="G15" s="78">
        <v>3</v>
      </c>
      <c r="H15" s="56">
        <v>9.9600000000000009</v>
      </c>
      <c r="I15" s="52">
        <v>4.2699999999999996</v>
      </c>
      <c r="J15" s="52">
        <v>9.89</v>
      </c>
      <c r="K15" s="52">
        <v>1</v>
      </c>
      <c r="L15" s="78">
        <v>2</v>
      </c>
      <c r="M15" s="56">
        <v>15.110000000000003</v>
      </c>
      <c r="N15" s="52">
        <v>1.2999999999999989</v>
      </c>
      <c r="O15" s="52">
        <v>16.300000000000004</v>
      </c>
      <c r="P15" s="52">
        <v>4</v>
      </c>
      <c r="Q15" s="78">
        <v>8</v>
      </c>
      <c r="R15" s="56">
        <v>10.68</v>
      </c>
      <c r="S15" s="52">
        <v>4.37</v>
      </c>
      <c r="T15" s="52">
        <v>9.1900000000000013</v>
      </c>
      <c r="U15" s="52">
        <v>1</v>
      </c>
      <c r="V15" s="78">
        <v>1</v>
      </c>
      <c r="W15" s="56">
        <v>13.879999999999999</v>
      </c>
      <c r="X15" s="52">
        <v>8.629999999999999</v>
      </c>
      <c r="Y15" s="52">
        <v>11.589999999999995</v>
      </c>
      <c r="Z15" s="52">
        <v>3</v>
      </c>
      <c r="AA15" s="78">
        <v>4</v>
      </c>
      <c r="AB15" s="1"/>
      <c r="BA15" s="1"/>
      <c r="BC15" s="1"/>
      <c r="BZ15" s="1"/>
      <c r="CY15" s="1"/>
      <c r="DA15" s="1"/>
      <c r="DX15" s="1"/>
      <c r="EW15" s="1" t="s">
        <v>0</v>
      </c>
    </row>
    <row r="16" spans="1:153" ht="15" customHeight="1" thickTop="1" thickBot="1" x14ac:dyDescent="0.3">
      <c r="A16" s="31" t="s">
        <v>23</v>
      </c>
      <c r="B16" s="32">
        <v>2</v>
      </c>
      <c r="C16" s="53">
        <v>8.81</v>
      </c>
      <c r="D16" s="52">
        <v>2.9999999999999805E-2</v>
      </c>
      <c r="E16" s="75">
        <v>8.81</v>
      </c>
      <c r="F16" s="52">
        <v>0</v>
      </c>
      <c r="G16" s="78">
        <v>1</v>
      </c>
      <c r="H16" s="56">
        <v>10.74</v>
      </c>
      <c r="I16" s="52">
        <v>6.0000000000000497E-2</v>
      </c>
      <c r="J16" s="52">
        <v>10.73</v>
      </c>
      <c r="K16" s="52">
        <v>2</v>
      </c>
      <c r="L16" s="78">
        <v>3</v>
      </c>
      <c r="M16" s="56">
        <v>10.650000000000002</v>
      </c>
      <c r="N16" s="52">
        <v>8.0000000000000071E-2</v>
      </c>
      <c r="O16" s="52">
        <v>10.590000000000003</v>
      </c>
      <c r="P16" s="52">
        <v>0</v>
      </c>
      <c r="Q16" s="78">
        <v>1</v>
      </c>
      <c r="R16" s="56">
        <v>7.7099999999999991</v>
      </c>
      <c r="S16" s="52">
        <v>4.0000000000000036E-2</v>
      </c>
      <c r="T16" s="52">
        <v>7.67</v>
      </c>
      <c r="U16" s="52">
        <v>0</v>
      </c>
      <c r="V16" s="78">
        <v>2</v>
      </c>
      <c r="W16" s="56">
        <v>10.209999999999999</v>
      </c>
      <c r="X16" s="52">
        <v>4.0000000000000036E-2</v>
      </c>
      <c r="Y16" s="52">
        <v>10.199999999999998</v>
      </c>
      <c r="Z16" s="52">
        <v>0</v>
      </c>
      <c r="AA16" s="78">
        <v>1</v>
      </c>
      <c r="AB16" s="1"/>
      <c r="BA16" s="1"/>
      <c r="BC16" s="1"/>
      <c r="BZ16" s="1"/>
      <c r="CY16" s="1"/>
      <c r="DA16" s="1"/>
      <c r="DX16" s="1"/>
      <c r="EW16" s="1"/>
    </row>
    <row r="17" spans="1:153" ht="15" customHeight="1" thickTop="1" thickBot="1" x14ac:dyDescent="0.3">
      <c r="A17" s="31" t="s">
        <v>38</v>
      </c>
      <c r="B17" s="32">
        <v>1</v>
      </c>
      <c r="C17" s="53">
        <v>2.2555265460641341</v>
      </c>
      <c r="D17" s="52">
        <v>7.4833147735479137E-3</v>
      </c>
      <c r="E17" s="75">
        <v>2.261578210011761</v>
      </c>
      <c r="F17" s="52">
        <v>0.4898979485566356</v>
      </c>
      <c r="G17" s="78">
        <v>1.019803902718557</v>
      </c>
      <c r="H17" s="56">
        <v>3.6699405989743221</v>
      </c>
      <c r="I17" s="52">
        <v>1.6941475732650917</v>
      </c>
      <c r="J17" s="52">
        <v>3.8716745731014126</v>
      </c>
      <c r="K17" s="52">
        <v>0.4898979485566356</v>
      </c>
      <c r="L17" s="78">
        <v>0.8</v>
      </c>
      <c r="M17" s="56">
        <v>5.625216795822185</v>
      </c>
      <c r="N17" s="52">
        <v>0.50229075245319788</v>
      </c>
      <c r="O17" s="52">
        <v>6.081109767139548</v>
      </c>
      <c r="P17" s="52">
        <v>1.4966629547095764</v>
      </c>
      <c r="Q17" s="78">
        <v>3.0594117081556713</v>
      </c>
      <c r="R17" s="56">
        <v>3.706624340285916</v>
      </c>
      <c r="S17" s="52">
        <v>2.1205225771021632</v>
      </c>
      <c r="T17" s="52">
        <v>3.1457692223047768</v>
      </c>
      <c r="U17" s="52">
        <v>0.4898979485566356</v>
      </c>
      <c r="V17" s="78">
        <v>0.4898979485566356</v>
      </c>
      <c r="W17" s="56">
        <v>5.4343500071305666</v>
      </c>
      <c r="X17" s="52">
        <v>3.2162997372757407</v>
      </c>
      <c r="Y17" s="52">
        <v>4.1108179234794608</v>
      </c>
      <c r="Z17" s="52">
        <v>1.4696938456699069</v>
      </c>
      <c r="AA17" s="78">
        <v>1.6248076809271921</v>
      </c>
      <c r="AB17" s="1"/>
      <c r="BA17" s="1"/>
      <c r="BC17" s="1"/>
      <c r="BZ17" s="1"/>
      <c r="CY17" s="1"/>
      <c r="DA17" s="1"/>
      <c r="DX17" s="1"/>
      <c r="EW17" s="1"/>
    </row>
    <row r="18" spans="1:153" ht="15" customHeight="1" thickTop="1" thickBot="1" x14ac:dyDescent="0.3">
      <c r="A18" s="31" t="s">
        <v>38</v>
      </c>
      <c r="B18" s="32">
        <v>2</v>
      </c>
      <c r="C18" s="53">
        <v>3.2626185802204954</v>
      </c>
      <c r="D18" s="52">
        <v>9.7979589711326663E-3</v>
      </c>
      <c r="E18" s="75">
        <v>3.2645759295810537</v>
      </c>
      <c r="F18" s="52">
        <v>0</v>
      </c>
      <c r="G18" s="78">
        <v>0.4898979485566356</v>
      </c>
      <c r="H18" s="56">
        <v>4.1028994625752162</v>
      </c>
      <c r="I18" s="52">
        <v>2.2271057451320266E-2</v>
      </c>
      <c r="J18" s="52">
        <v>4.0938617465664384</v>
      </c>
      <c r="K18" s="52">
        <v>0.8</v>
      </c>
      <c r="L18" s="78">
        <v>0.9797958971132712</v>
      </c>
      <c r="M18" s="56">
        <v>3.9889427170617537</v>
      </c>
      <c r="N18" s="52">
        <v>3.1874754901018314E-2</v>
      </c>
      <c r="O18" s="52">
        <v>3.9784992145280125</v>
      </c>
      <c r="P18" s="52">
        <v>0</v>
      </c>
      <c r="Q18" s="78">
        <v>0.4898979485566356</v>
      </c>
      <c r="R18" s="56">
        <v>2.648943940516673</v>
      </c>
      <c r="S18" s="52">
        <v>1.356465996625051E-2</v>
      </c>
      <c r="T18" s="52">
        <v>2.6386163040502879</v>
      </c>
      <c r="U18" s="52">
        <v>0</v>
      </c>
      <c r="V18" s="78">
        <v>0.8</v>
      </c>
      <c r="W18" s="56">
        <v>3.5344227251419711</v>
      </c>
      <c r="X18" s="52">
        <v>1.356465996625043E-2</v>
      </c>
      <c r="Y18" s="52">
        <v>3.531483540949893</v>
      </c>
      <c r="Z18" s="52">
        <v>0</v>
      </c>
      <c r="AA18" s="78">
        <v>0.39999999999999997</v>
      </c>
      <c r="AB18" s="1"/>
      <c r="BA18" s="1"/>
      <c r="BC18" s="1"/>
      <c r="BZ18" s="1"/>
      <c r="CY18" s="1"/>
      <c r="DA18" s="1"/>
      <c r="DX18" s="1"/>
      <c r="EW18" s="1"/>
    </row>
    <row r="19" spans="1:153" ht="15" customHeight="1" thickTop="1" thickBot="1" x14ac:dyDescent="0.3">
      <c r="A19" s="31" t="s">
        <v>24</v>
      </c>
      <c r="B19" s="32">
        <v>1</v>
      </c>
      <c r="C19" s="53">
        <v>1.5018410521969807</v>
      </c>
      <c r="D19" s="52">
        <v>8.6506154541442393E-2</v>
      </c>
      <c r="E19" s="75">
        <v>1.5038544510728959</v>
      </c>
      <c r="F19" s="52">
        <v>0.69992710231611666</v>
      </c>
      <c r="G19" s="78">
        <v>1.0098534065489688</v>
      </c>
      <c r="H19" s="56">
        <v>1.9157089024625642</v>
      </c>
      <c r="I19" s="52">
        <v>1.3015942429440488</v>
      </c>
      <c r="J19" s="52">
        <v>1.9676571279319506</v>
      </c>
      <c r="K19" s="52">
        <v>0.69992710231611666</v>
      </c>
      <c r="L19" s="78">
        <v>0.89442719099991586</v>
      </c>
      <c r="M19" s="56">
        <v>2.3717539492582667</v>
      </c>
      <c r="N19" s="52">
        <v>0.70872473673013414</v>
      </c>
      <c r="O19" s="52">
        <v>2.4659906259228861</v>
      </c>
      <c r="P19" s="52">
        <v>1.2233817698125047</v>
      </c>
      <c r="Q19" s="78">
        <v>1.7491174083393233</v>
      </c>
      <c r="R19" s="56">
        <v>1.9252595514075279</v>
      </c>
      <c r="S19" s="52">
        <v>1.4562014205123421</v>
      </c>
      <c r="T19" s="52">
        <v>1.7736316478640024</v>
      </c>
      <c r="U19" s="52">
        <v>0.69992710231611666</v>
      </c>
      <c r="V19" s="78">
        <v>0.69992710231611666</v>
      </c>
      <c r="W19" s="56">
        <v>2.331169236055282</v>
      </c>
      <c r="X19" s="52">
        <v>1.7934045102195268</v>
      </c>
      <c r="Y19" s="52">
        <v>2.0275152091857316</v>
      </c>
      <c r="Z19" s="52">
        <v>1.2123093028059742</v>
      </c>
      <c r="AA19" s="78">
        <v>1.2746794424196195</v>
      </c>
      <c r="AB19" s="1"/>
    </row>
    <row r="20" spans="1:153" ht="15" customHeight="1" thickTop="1" thickBot="1" x14ac:dyDescent="0.3">
      <c r="A20" s="31" t="s">
        <v>24</v>
      </c>
      <c r="B20" s="32">
        <v>2</v>
      </c>
      <c r="C20" s="53">
        <v>1.8062720116916211</v>
      </c>
      <c r="D20" s="52">
        <v>9.8984640076795083E-2</v>
      </c>
      <c r="E20" s="75">
        <v>1.8068137506619364</v>
      </c>
      <c r="F20" s="52">
        <v>0</v>
      </c>
      <c r="G20" s="78">
        <v>0.69992710231611666</v>
      </c>
      <c r="H20" s="56">
        <v>2.0255615178451669</v>
      </c>
      <c r="I20" s="52">
        <v>0.14923490694646566</v>
      </c>
      <c r="J20" s="52">
        <v>2.0233293717451044</v>
      </c>
      <c r="K20" s="52">
        <v>0.89442719099991586</v>
      </c>
      <c r="L20" s="78">
        <v>0.98984640076795305</v>
      </c>
      <c r="M20" s="56">
        <v>1.997233766253153</v>
      </c>
      <c r="N20" s="52">
        <v>0.17853502429780638</v>
      </c>
      <c r="O20" s="52">
        <v>1.994617560969524</v>
      </c>
      <c r="P20" s="52">
        <v>0</v>
      </c>
      <c r="Q20" s="78">
        <v>0.69992710231611666</v>
      </c>
      <c r="R20" s="56">
        <v>1.6275576611956557</v>
      </c>
      <c r="S20" s="52">
        <v>0.11646742019230318</v>
      </c>
      <c r="T20" s="52">
        <v>1.624381822125047</v>
      </c>
      <c r="U20" s="52">
        <v>0</v>
      </c>
      <c r="V20" s="78">
        <v>0.89442719099991586</v>
      </c>
      <c r="W20" s="56">
        <v>1.8800060439110218</v>
      </c>
      <c r="X20" s="52">
        <v>0.11646742019230283</v>
      </c>
      <c r="Y20" s="52">
        <v>1.8792241859208532</v>
      </c>
      <c r="Z20" s="52">
        <v>0</v>
      </c>
      <c r="AA20" s="78">
        <v>0.63245553203367588</v>
      </c>
      <c r="AB20" s="1"/>
    </row>
    <row r="21" spans="1:153" ht="15" customHeight="1" thickTop="1" thickBot="1" x14ac:dyDescent="0.3">
      <c r="A21" s="31" t="s">
        <v>42</v>
      </c>
      <c r="B21" s="32">
        <v>1</v>
      </c>
      <c r="C21" s="53">
        <v>7.1244831698148987</v>
      </c>
      <c r="D21" s="52">
        <v>3.1252223461503759</v>
      </c>
      <c r="E21" s="75">
        <v>8.2123987061647856</v>
      </c>
      <c r="F21" s="52">
        <v>49.994793022579763</v>
      </c>
      <c r="G21" s="78">
        <v>22.951213785203834</v>
      </c>
      <c r="H21" s="56">
        <v>8.4601170396686296</v>
      </c>
      <c r="I21" s="52">
        <v>13.864446558841594</v>
      </c>
      <c r="J21" s="52">
        <v>14.843520880597092</v>
      </c>
      <c r="K21" s="52">
        <v>29.163629263171529</v>
      </c>
      <c r="L21" s="78">
        <v>19.44406936956339</v>
      </c>
      <c r="M21" s="56">
        <v>8.9995975914785848</v>
      </c>
      <c r="N21" s="52">
        <v>6.5610510713769123</v>
      </c>
      <c r="O21" s="52">
        <v>15.856421205779876</v>
      </c>
      <c r="P21" s="52">
        <v>50.974240408854364</v>
      </c>
      <c r="Q21" s="78">
        <v>28.211571102247149</v>
      </c>
      <c r="R21" s="56">
        <v>10.287803523605472</v>
      </c>
      <c r="S21" s="52">
        <v>20.719997446106177</v>
      </c>
      <c r="T21" s="52">
        <v>15.177405851993859</v>
      </c>
      <c r="U21" s="52">
        <v>43.745443894757287</v>
      </c>
      <c r="V21" s="78">
        <v>19.442419508781018</v>
      </c>
      <c r="W21" s="56">
        <v>9.8030665940087545</v>
      </c>
      <c r="X21" s="52">
        <v>17.171624954227568</v>
      </c>
      <c r="Y21" s="52">
        <v>15.203323404212142</v>
      </c>
      <c r="Z21" s="52">
        <v>43.296760814499081</v>
      </c>
      <c r="AA21" s="78">
        <v>23.605174859622583</v>
      </c>
      <c r="AB21" s="2"/>
    </row>
    <row r="22" spans="1:153" ht="15" customHeight="1" thickTop="1" thickBot="1" x14ac:dyDescent="0.3">
      <c r="A22" s="31" t="s">
        <v>42</v>
      </c>
      <c r="B22" s="32">
        <v>2</v>
      </c>
      <c r="C22" s="53">
        <v>17.368000112419434</v>
      </c>
      <c r="D22" s="52">
        <v>3.5760346848553142</v>
      </c>
      <c r="E22" s="75">
        <v>23.674184364019084</v>
      </c>
      <c r="F22" s="52">
        <v>0</v>
      </c>
      <c r="G22" s="78">
        <v>19.442419508781018</v>
      </c>
      <c r="H22" s="56">
        <v>13.384178127693716</v>
      </c>
      <c r="I22" s="52">
        <v>2.5005849019179904</v>
      </c>
      <c r="J22" s="52">
        <v>22.07428945827083</v>
      </c>
      <c r="K22" s="52">
        <v>34.401045807689073</v>
      </c>
      <c r="L22" s="78">
        <v>19.035507707076018</v>
      </c>
      <c r="M22" s="56">
        <v>10.245376865974931</v>
      </c>
      <c r="N22" s="52">
        <v>1.6212770096059423</v>
      </c>
      <c r="O22" s="52">
        <v>23.515887302163691</v>
      </c>
      <c r="P22" s="52">
        <v>0</v>
      </c>
      <c r="Q22" s="78">
        <v>19.442419508781018</v>
      </c>
      <c r="R22" s="56">
        <v>12.437396157692614</v>
      </c>
      <c r="S22" s="52">
        <v>3.1024885506740323</v>
      </c>
      <c r="T22" s="52">
        <v>17.406577605283402</v>
      </c>
      <c r="U22" s="52">
        <v>0</v>
      </c>
      <c r="V22" s="78">
        <v>24.845199749997661</v>
      </c>
      <c r="W22" s="56">
        <v>10.247498331576484</v>
      </c>
      <c r="X22" s="52">
        <v>1.6557779384745923</v>
      </c>
      <c r="Y22" s="52">
        <v>16.612660766627059</v>
      </c>
      <c r="Z22" s="52">
        <v>0</v>
      </c>
      <c r="AA22" s="78">
        <v>19.764235376052369</v>
      </c>
      <c r="AB22" s="2"/>
    </row>
    <row r="23" spans="1:153" ht="15" customHeight="1" thickTop="1" thickBot="1" x14ac:dyDescent="0.3">
      <c r="A23" s="31" t="s">
        <v>40</v>
      </c>
      <c r="B23" s="32">
        <v>1</v>
      </c>
      <c r="C23" s="82">
        <v>-12.986716608680245</v>
      </c>
      <c r="D23" s="83">
        <v>-5.3571428571437012E-5</v>
      </c>
      <c r="E23" s="84">
        <v>-12.982734115309093</v>
      </c>
      <c r="F23" s="83">
        <v>-1.2499999999999993</v>
      </c>
      <c r="G23" s="85">
        <v>-0.28846153846154304</v>
      </c>
      <c r="H23" s="86">
        <v>92.266106178254773</v>
      </c>
      <c r="I23" s="83">
        <v>22.407314760345866</v>
      </c>
      <c r="J23" s="83">
        <v>-25.480812293093557</v>
      </c>
      <c r="K23" s="83">
        <v>-1.2499999999999993</v>
      </c>
      <c r="L23" s="85">
        <v>0.31250000000000477</v>
      </c>
      <c r="M23" s="86">
        <v>70.208017354987888</v>
      </c>
      <c r="N23" s="83">
        <v>1.9301142982845718</v>
      </c>
      <c r="O23" s="83">
        <v>109.98520193991391</v>
      </c>
      <c r="P23" s="83">
        <v>1.8750000000000131</v>
      </c>
      <c r="Q23" s="85">
        <v>-16.698717948717949</v>
      </c>
      <c r="R23" s="86">
        <v>18.694939724933146</v>
      </c>
      <c r="S23" s="83">
        <v>-23.408482646283353</v>
      </c>
      <c r="T23" s="83">
        <v>-7.6927392537932731</v>
      </c>
      <c r="U23" s="83">
        <v>-1.2499999999999993</v>
      </c>
      <c r="V23" s="85">
        <v>-1.2499999999999993</v>
      </c>
      <c r="W23" s="86">
        <v>-41.126937559596115</v>
      </c>
      <c r="X23" s="83">
        <v>-9.495423804669139</v>
      </c>
      <c r="Y23" s="83">
        <v>115.61610966757173</v>
      </c>
      <c r="Z23" s="83">
        <v>-11.250000000000004</v>
      </c>
      <c r="AA23" s="85">
        <v>-9.2045454545454444</v>
      </c>
      <c r="AB23" s="3"/>
      <c r="AC23" s="68"/>
    </row>
    <row r="24" spans="1:153" ht="15" customHeight="1" thickTop="1" thickBot="1" x14ac:dyDescent="0.3">
      <c r="A24" s="31" t="s">
        <v>40</v>
      </c>
      <c r="B24" s="32">
        <v>2</v>
      </c>
      <c r="C24" s="82">
        <v>32.648883709514919</v>
      </c>
      <c r="D24" s="83">
        <v>4.3749999999996499E-4</v>
      </c>
      <c r="E24" s="84">
        <v>32.147460305911693</v>
      </c>
      <c r="F24" s="83">
        <v>-1</v>
      </c>
      <c r="G24" s="85">
        <v>-1.2499999999999993</v>
      </c>
      <c r="H24" s="86">
        <v>-48.088155005612613</v>
      </c>
      <c r="I24" s="83">
        <v>2.4596774193516748E-4</v>
      </c>
      <c r="J24" s="83">
        <v>-47.266610162267796</v>
      </c>
      <c r="K24" s="83">
        <v>0.31249999999999611</v>
      </c>
      <c r="L24" s="85">
        <v>4.3749999999999956</v>
      </c>
      <c r="M24" s="86">
        <v>28.625021692388717</v>
      </c>
      <c r="N24" s="83">
        <v>-3.5462598425195766E-3</v>
      </c>
      <c r="O24" s="83">
        <v>27.37488669754023</v>
      </c>
      <c r="P24" s="83">
        <v>-1</v>
      </c>
      <c r="Q24" s="85">
        <v>-1.2499999999999993</v>
      </c>
      <c r="R24" s="86">
        <v>-5.8340570033450776</v>
      </c>
      <c r="S24" s="83">
        <v>4.1847826086959238E-4</v>
      </c>
      <c r="T24" s="83">
        <v>-6.1463424713629058</v>
      </c>
      <c r="U24" s="83">
        <v>-1</v>
      </c>
      <c r="V24" s="85">
        <v>0.31249999999999611</v>
      </c>
      <c r="W24" s="86">
        <v>32.766328306974451</v>
      </c>
      <c r="X24" s="83">
        <v>1.070652173912699E-3</v>
      </c>
      <c r="Y24" s="83">
        <v>32.04226323719228</v>
      </c>
      <c r="Z24" s="83">
        <v>-1</v>
      </c>
      <c r="AA24" s="85">
        <v>1.2499999999999976</v>
      </c>
      <c r="AB24" s="3"/>
      <c r="AC24" s="68"/>
    </row>
    <row r="25" spans="1:153" ht="15" customHeight="1" thickTop="1" thickBot="1" x14ac:dyDescent="0.3">
      <c r="A25" s="31" t="s">
        <v>41</v>
      </c>
      <c r="B25" s="32">
        <v>1</v>
      </c>
      <c r="C25" s="82">
        <v>-3.3521455981261963</v>
      </c>
      <c r="D25" s="83">
        <v>4.634258279005849E-4</v>
      </c>
      <c r="E25" s="84">
        <v>-3.3789983587152594</v>
      </c>
      <c r="F25" s="83">
        <v>0.29163629263171559</v>
      </c>
      <c r="G25" s="85">
        <v>0.58260773454747994</v>
      </c>
      <c r="H25" s="86">
        <v>20.32743711804256</v>
      </c>
      <c r="I25" s="83">
        <v>-6.8879138308918968</v>
      </c>
      <c r="J25" s="83">
        <v>10.328103264845748</v>
      </c>
      <c r="K25" s="83">
        <v>0.29163629263171559</v>
      </c>
      <c r="L25" s="85">
        <v>1.2577882373436338</v>
      </c>
      <c r="M25" s="86">
        <v>26.762675929465701</v>
      </c>
      <c r="N25" s="83">
        <v>-1.0983604141217971</v>
      </c>
      <c r="O25" s="83">
        <v>32.267099738465362</v>
      </c>
      <c r="P25" s="83">
        <v>2.785378136626687</v>
      </c>
      <c r="Q25" s="85">
        <v>3.961676181281371</v>
      </c>
      <c r="R25" s="86">
        <v>-9.7921617451638685</v>
      </c>
      <c r="S25" s="83">
        <v>2.6270050237522597</v>
      </c>
      <c r="T25" s="83">
        <v>-1.0747491792520449</v>
      </c>
      <c r="U25" s="83">
        <v>-0.29163629263171564</v>
      </c>
      <c r="V25" s="85">
        <v>-0.29163629263171564</v>
      </c>
      <c r="W25" s="86">
        <v>16.586065584322242</v>
      </c>
      <c r="X25" s="83">
        <v>4.1964238802038913</v>
      </c>
      <c r="Y25" s="83">
        <v>23.609647571383658</v>
      </c>
      <c r="Z25" s="83">
        <v>-1.5153866285074657</v>
      </c>
      <c r="AA25" s="85">
        <v>-1.6416326152373912</v>
      </c>
      <c r="AB25" s="1"/>
      <c r="AD25" s="69" t="s">
        <v>31</v>
      </c>
    </row>
    <row r="26" spans="1:153" ht="15" customHeight="1" thickTop="1" x14ac:dyDescent="0.25">
      <c r="A26" s="31" t="s">
        <v>41</v>
      </c>
      <c r="B26" s="32">
        <v>2</v>
      </c>
      <c r="C26" s="82">
        <v>12.477324991775935</v>
      </c>
      <c r="D26" s="83">
        <v>-1.752853001359838E-3</v>
      </c>
      <c r="E26" s="84">
        <v>12.441446566608338</v>
      </c>
      <c r="F26" s="83">
        <v>-1</v>
      </c>
      <c r="G26" s="85">
        <v>-0.29163629263171564</v>
      </c>
      <c r="H26" s="86">
        <v>8.0953898415080037</v>
      </c>
      <c r="I26" s="83">
        <v>-4.272450964998775E-3</v>
      </c>
      <c r="J26" s="83">
        <v>8.1318394008268431</v>
      </c>
      <c r="K26" s="83">
        <v>1.2577882373436311</v>
      </c>
      <c r="L26" s="85">
        <v>1.7528530013599162</v>
      </c>
      <c r="M26" s="86">
        <v>15.451108005992614</v>
      </c>
      <c r="N26" s="83">
        <v>5.7461567859626514E-3</v>
      </c>
      <c r="O26" s="83">
        <v>15.325075769607389</v>
      </c>
      <c r="P26" s="83">
        <v>-1</v>
      </c>
      <c r="Q26" s="85">
        <v>-0.29163629263171559</v>
      </c>
      <c r="R26" s="86">
        <v>-0.38914413192427988</v>
      </c>
      <c r="S26" s="83">
        <v>-2.4686029279890626E-3</v>
      </c>
      <c r="T26" s="83">
        <v>-0.34546003744226589</v>
      </c>
      <c r="U26" s="83">
        <v>-1</v>
      </c>
      <c r="V26" s="85">
        <v>1.2577882373436311</v>
      </c>
      <c r="W26" s="86">
        <v>-11.107983621288192</v>
      </c>
      <c r="X26" s="83">
        <v>3.8611481694180239E-3</v>
      </c>
      <c r="Y26" s="83">
        <v>-11.000198855482049</v>
      </c>
      <c r="Z26" s="83">
        <v>-1</v>
      </c>
      <c r="AA26" s="85">
        <v>0.79056941504209421</v>
      </c>
      <c r="AB26" s="1"/>
      <c r="AD26" s="69" t="s">
        <v>32</v>
      </c>
    </row>
    <row r="27" spans="1:153" ht="15" customHeight="1" x14ac:dyDescent="0.25">
      <c r="AB27" s="1"/>
      <c r="AD27" s="69" t="s">
        <v>33</v>
      </c>
    </row>
    <row r="28" spans="1:153" ht="15" customHeight="1" x14ac:dyDescent="0.25">
      <c r="AB28" s="1"/>
      <c r="AD28" s="69" t="s">
        <v>34</v>
      </c>
    </row>
    <row r="29" spans="1:153" ht="15" customHeight="1" x14ac:dyDescent="0.25">
      <c r="AB29" s="2"/>
      <c r="AD29" s="69"/>
    </row>
    <row r="30" spans="1:153" ht="15" customHeight="1" x14ac:dyDescent="0.25">
      <c r="AB30" s="1"/>
    </row>
    <row r="31" spans="1:153" ht="15" customHeight="1" x14ac:dyDescent="0.25">
      <c r="A31" s="5"/>
      <c r="B31" s="33" t="s">
        <v>15</v>
      </c>
      <c r="C31" s="49"/>
      <c r="D31" s="50"/>
      <c r="E31" s="50" t="s">
        <v>3</v>
      </c>
      <c r="F31" s="57"/>
      <c r="G31" s="58"/>
      <c r="H31" s="54"/>
      <c r="I31" s="54"/>
      <c r="J31" s="54" t="s">
        <v>4</v>
      </c>
      <c r="K31" s="62"/>
      <c r="L31" s="63"/>
      <c r="M31" s="50"/>
      <c r="N31" s="50"/>
      <c r="O31" s="50" t="s">
        <v>5</v>
      </c>
      <c r="P31" s="57"/>
      <c r="Q31" s="58"/>
      <c r="R31" s="54"/>
      <c r="S31" s="54"/>
      <c r="T31" s="54" t="s">
        <v>6</v>
      </c>
      <c r="U31" s="62"/>
      <c r="V31" s="63"/>
      <c r="W31" s="50"/>
      <c r="X31" s="50"/>
      <c r="Y31" s="50" t="s">
        <v>35</v>
      </c>
      <c r="Z31" s="57"/>
      <c r="AA31" s="66"/>
      <c r="AB31" s="1"/>
    </row>
    <row r="32" spans="1:153" ht="15" customHeight="1" thickBot="1" x14ac:dyDescent="0.3">
      <c r="A32" s="12"/>
      <c r="B32" s="18"/>
      <c r="C32" s="51" t="s">
        <v>7</v>
      </c>
      <c r="D32" s="51" t="s">
        <v>8</v>
      </c>
      <c r="E32" s="51" t="s">
        <v>36</v>
      </c>
      <c r="F32" s="59" t="s">
        <v>10</v>
      </c>
      <c r="G32" s="60" t="s">
        <v>9</v>
      </c>
      <c r="H32" s="55" t="s">
        <v>7</v>
      </c>
      <c r="I32" s="55" t="s">
        <v>8</v>
      </c>
      <c r="J32" s="55" t="s">
        <v>36</v>
      </c>
      <c r="K32" s="64" t="s">
        <v>10</v>
      </c>
      <c r="L32" s="65" t="s">
        <v>9</v>
      </c>
      <c r="M32" s="51" t="s">
        <v>7</v>
      </c>
      <c r="N32" s="51" t="s">
        <v>8</v>
      </c>
      <c r="O32" s="51" t="s">
        <v>36</v>
      </c>
      <c r="P32" s="59" t="s">
        <v>10</v>
      </c>
      <c r="Q32" s="60" t="s">
        <v>9</v>
      </c>
      <c r="R32" s="55" t="s">
        <v>7</v>
      </c>
      <c r="S32" s="55" t="s">
        <v>8</v>
      </c>
      <c r="T32" s="55" t="s">
        <v>36</v>
      </c>
      <c r="U32" s="64" t="s">
        <v>10</v>
      </c>
      <c r="V32" s="65" t="s">
        <v>9</v>
      </c>
      <c r="W32" s="51" t="s">
        <v>7</v>
      </c>
      <c r="X32" s="51" t="s">
        <v>8</v>
      </c>
      <c r="Y32" s="51" t="s">
        <v>36</v>
      </c>
      <c r="Z32" s="59" t="s">
        <v>10</v>
      </c>
      <c r="AA32" s="60" t="s">
        <v>9</v>
      </c>
      <c r="AB32" s="1"/>
    </row>
    <row r="33" spans="1:153" ht="15" customHeight="1" thickTop="1" thickBot="1" x14ac:dyDescent="0.3">
      <c r="A33" s="31" t="s">
        <v>14</v>
      </c>
      <c r="B33" s="32">
        <v>1</v>
      </c>
      <c r="C33" s="92">
        <v>23.271666666666665</v>
      </c>
      <c r="D33" s="88">
        <v>2.7766666666666668</v>
      </c>
      <c r="E33" s="89">
        <v>20.495000000000001</v>
      </c>
      <c r="F33" s="88">
        <v>3.3333333333333335</v>
      </c>
      <c r="G33" s="90">
        <v>9.0833333333333339</v>
      </c>
      <c r="H33" s="91">
        <v>33.489166666666669</v>
      </c>
      <c r="I33" s="88">
        <v>9.7016666666666662</v>
      </c>
      <c r="J33" s="88">
        <v>23.787499999999998</v>
      </c>
      <c r="K33" s="88">
        <v>5.25</v>
      </c>
      <c r="L33" s="90">
        <v>9.5833333333333339</v>
      </c>
      <c r="M33" s="91">
        <v>36.229999999999997</v>
      </c>
      <c r="N33" s="88">
        <v>11.199999999999998</v>
      </c>
      <c r="O33" s="88">
        <v>25.03</v>
      </c>
      <c r="P33" s="88">
        <v>3.8333333333333335</v>
      </c>
      <c r="Q33" s="90">
        <v>8</v>
      </c>
      <c r="R33" s="91">
        <v>25.110000000000003</v>
      </c>
      <c r="S33" s="88">
        <v>6.4791666666666652</v>
      </c>
      <c r="T33" s="88">
        <v>18.630833333333328</v>
      </c>
      <c r="U33" s="88">
        <v>3.0833333333333335</v>
      </c>
      <c r="V33" s="90">
        <v>6.916666666666667</v>
      </c>
      <c r="W33" s="91">
        <v>30.365833333333331</v>
      </c>
      <c r="X33" s="88">
        <v>12.625833333333334</v>
      </c>
      <c r="Y33" s="88">
        <v>17.740000000000002</v>
      </c>
      <c r="Z33" s="88">
        <v>3.8333333333333335</v>
      </c>
      <c r="AA33" s="90">
        <v>8.5</v>
      </c>
      <c r="AB33" s="2"/>
    </row>
    <row r="34" spans="1:153" ht="15" customHeight="1" thickTop="1" thickBot="1" x14ac:dyDescent="0.3">
      <c r="A34" s="31" t="s">
        <v>14</v>
      </c>
      <c r="B34" s="32">
        <v>2</v>
      </c>
      <c r="C34" s="92">
        <v>14.945833333333333</v>
      </c>
      <c r="D34" s="88">
        <v>2.7725000000000004</v>
      </c>
      <c r="E34" s="89">
        <v>12.404999999999999</v>
      </c>
      <c r="F34" s="88">
        <v>2.4166666666666665</v>
      </c>
      <c r="G34" s="90">
        <v>6.25</v>
      </c>
      <c r="H34" s="91">
        <v>20.950833333333332</v>
      </c>
      <c r="I34" s="88">
        <v>5.9783333333333344</v>
      </c>
      <c r="J34" s="88">
        <v>14.972500000000002</v>
      </c>
      <c r="K34" s="88">
        <v>4.166666666666667</v>
      </c>
      <c r="L34" s="90">
        <v>7.666666666666667</v>
      </c>
      <c r="M34" s="91">
        <v>26.74666666666667</v>
      </c>
      <c r="N34" s="88">
        <v>11.049166666666666</v>
      </c>
      <c r="O34" s="88">
        <v>15.697499999999998</v>
      </c>
      <c r="P34" s="88">
        <v>1.8333333333333333</v>
      </c>
      <c r="Q34" s="90">
        <v>5.666666666666667</v>
      </c>
      <c r="R34" s="91">
        <v>17.969166666666663</v>
      </c>
      <c r="S34" s="88">
        <v>4.2299999999999995</v>
      </c>
      <c r="T34" s="88">
        <v>13.739166666666668</v>
      </c>
      <c r="U34" s="88">
        <v>1.6666666666666667</v>
      </c>
      <c r="V34" s="90">
        <v>5.666666666666667</v>
      </c>
      <c r="W34" s="91">
        <v>25.664166666666663</v>
      </c>
      <c r="X34" s="88">
        <v>7.7416666666666663</v>
      </c>
      <c r="Y34" s="88">
        <v>17.922499999999999</v>
      </c>
      <c r="Z34" s="88">
        <v>3</v>
      </c>
      <c r="AA34" s="90">
        <v>7.083333333333333</v>
      </c>
      <c r="AB34" s="3"/>
    </row>
    <row r="35" spans="1:153" ht="15" customHeight="1" thickTop="1" thickBot="1" x14ac:dyDescent="0.3">
      <c r="A35" s="31" t="s">
        <v>37</v>
      </c>
      <c r="B35" s="32">
        <v>1</v>
      </c>
      <c r="C35" s="87">
        <v>21.884999999999998</v>
      </c>
      <c r="D35" s="88">
        <v>2.77</v>
      </c>
      <c r="E35" s="89">
        <v>19.094999999999999</v>
      </c>
      <c r="F35" s="88">
        <v>1</v>
      </c>
      <c r="G35" s="90">
        <v>7.5</v>
      </c>
      <c r="H35" s="91">
        <v>26.465</v>
      </c>
      <c r="I35" s="88">
        <v>5.9600000000000009</v>
      </c>
      <c r="J35" s="88">
        <v>14.67</v>
      </c>
      <c r="K35" s="88">
        <v>3</v>
      </c>
      <c r="L35" s="90">
        <v>7.5</v>
      </c>
      <c r="M35" s="91">
        <v>27.755000000000003</v>
      </c>
      <c r="N35" s="88">
        <v>9.82</v>
      </c>
      <c r="O35" s="88">
        <v>15.145000000000001</v>
      </c>
      <c r="P35" s="88">
        <v>1</v>
      </c>
      <c r="Q35" s="90">
        <v>4</v>
      </c>
      <c r="R35" s="91">
        <v>21.875</v>
      </c>
      <c r="S35" s="88">
        <v>3.75</v>
      </c>
      <c r="T35" s="88">
        <v>16.29</v>
      </c>
      <c r="U35" s="88">
        <v>1</v>
      </c>
      <c r="V35" s="90">
        <v>5</v>
      </c>
      <c r="W35" s="91">
        <v>26.700000000000003</v>
      </c>
      <c r="X35" s="88">
        <v>11.285</v>
      </c>
      <c r="Y35" s="88">
        <v>15.234999999999999</v>
      </c>
      <c r="Z35" s="88">
        <v>1</v>
      </c>
      <c r="AA35" s="90">
        <v>5</v>
      </c>
      <c r="AB35" s="1"/>
    </row>
    <row r="36" spans="1:153" ht="15" customHeight="1" thickTop="1" thickBot="1" x14ac:dyDescent="0.3">
      <c r="A36" s="31" t="s">
        <v>37</v>
      </c>
      <c r="B36" s="32">
        <v>2</v>
      </c>
      <c r="C36" s="87">
        <v>13.08</v>
      </c>
      <c r="D36" s="88">
        <v>2.7549999999999999</v>
      </c>
      <c r="E36" s="89">
        <v>10.905000000000001</v>
      </c>
      <c r="F36" s="88">
        <v>1</v>
      </c>
      <c r="G36" s="90">
        <v>4.5</v>
      </c>
      <c r="H36" s="91">
        <v>18.295000000000002</v>
      </c>
      <c r="I36" s="88">
        <v>5.97</v>
      </c>
      <c r="J36" s="88">
        <v>12.32</v>
      </c>
      <c r="K36" s="88">
        <v>0</v>
      </c>
      <c r="L36" s="90">
        <v>6</v>
      </c>
      <c r="M36" s="91">
        <v>23.155000000000001</v>
      </c>
      <c r="N36" s="88">
        <v>11.01</v>
      </c>
      <c r="O36" s="88">
        <v>12.105</v>
      </c>
      <c r="P36" s="88">
        <v>0</v>
      </c>
      <c r="Q36" s="90">
        <v>4</v>
      </c>
      <c r="R36" s="91">
        <v>16.07</v>
      </c>
      <c r="S36" s="88">
        <v>3.71</v>
      </c>
      <c r="T36" s="88">
        <v>11.969999999999999</v>
      </c>
      <c r="U36" s="88">
        <v>0</v>
      </c>
      <c r="V36" s="90">
        <v>4</v>
      </c>
      <c r="W36" s="91">
        <v>21.935000000000002</v>
      </c>
      <c r="X36" s="88">
        <v>7.02</v>
      </c>
      <c r="Y36" s="88">
        <v>14.209999999999999</v>
      </c>
      <c r="Z36" s="88">
        <v>0</v>
      </c>
      <c r="AA36" s="90">
        <v>5</v>
      </c>
      <c r="AB36" s="1"/>
    </row>
    <row r="37" spans="1:153" ht="15" customHeight="1" thickTop="1" thickBot="1" x14ac:dyDescent="0.3">
      <c r="A37" s="31" t="s">
        <v>13</v>
      </c>
      <c r="B37" s="32">
        <v>1</v>
      </c>
      <c r="C37" s="87">
        <v>23.34</v>
      </c>
      <c r="D37" s="88">
        <v>2.7749999999999999</v>
      </c>
      <c r="E37" s="89">
        <v>20.564999999999998</v>
      </c>
      <c r="F37" s="88">
        <v>3</v>
      </c>
      <c r="G37" s="90">
        <v>9.5</v>
      </c>
      <c r="H37" s="91">
        <v>27.535</v>
      </c>
      <c r="I37" s="88">
        <v>10.234999999999999</v>
      </c>
      <c r="J37" s="88">
        <v>20.924999999999997</v>
      </c>
      <c r="K37" s="88">
        <v>5</v>
      </c>
      <c r="L37" s="90">
        <v>9</v>
      </c>
      <c r="M37" s="91">
        <v>33.44</v>
      </c>
      <c r="N37" s="88">
        <v>11</v>
      </c>
      <c r="O37" s="88">
        <v>22.389999999999997</v>
      </c>
      <c r="P37" s="88">
        <v>3</v>
      </c>
      <c r="Q37" s="90">
        <v>6</v>
      </c>
      <c r="R37" s="91">
        <v>25.754999999999999</v>
      </c>
      <c r="S37" s="88">
        <v>5.3149999999999995</v>
      </c>
      <c r="T37" s="88">
        <v>17.495000000000001</v>
      </c>
      <c r="U37" s="88">
        <v>2</v>
      </c>
      <c r="V37" s="90">
        <v>7</v>
      </c>
      <c r="W37" s="91">
        <v>30.58</v>
      </c>
      <c r="X37" s="88">
        <v>12.355</v>
      </c>
      <c r="Y37" s="88">
        <v>16.654999999999998</v>
      </c>
      <c r="Z37" s="88">
        <v>5</v>
      </c>
      <c r="AA37" s="90">
        <v>9</v>
      </c>
      <c r="AB37" s="1"/>
      <c r="BA37" s="1"/>
      <c r="BC37" s="1"/>
      <c r="BZ37" s="1"/>
      <c r="CY37" s="1"/>
      <c r="DA37" s="1"/>
      <c r="DX37" s="1"/>
      <c r="EW37" s="1" t="s">
        <v>0</v>
      </c>
    </row>
    <row r="38" spans="1:153" ht="15" customHeight="1" thickTop="1" thickBot="1" x14ac:dyDescent="0.3">
      <c r="A38" s="31" t="s">
        <v>13</v>
      </c>
      <c r="B38" s="32">
        <v>2</v>
      </c>
      <c r="C38" s="87">
        <v>15.175000000000001</v>
      </c>
      <c r="D38" s="88">
        <v>2.77</v>
      </c>
      <c r="E38" s="89">
        <v>12.734999999999999</v>
      </c>
      <c r="F38" s="88">
        <v>2.5</v>
      </c>
      <c r="G38" s="90">
        <v>6.5</v>
      </c>
      <c r="H38" s="91">
        <v>22.060000000000002</v>
      </c>
      <c r="I38" s="88">
        <v>5.9749999999999996</v>
      </c>
      <c r="J38" s="88">
        <v>16.090000000000003</v>
      </c>
      <c r="K38" s="88">
        <v>3</v>
      </c>
      <c r="L38" s="90">
        <v>7</v>
      </c>
      <c r="M38" s="91">
        <v>27.200000000000003</v>
      </c>
      <c r="N38" s="88">
        <v>11.055</v>
      </c>
      <c r="O38" s="88">
        <v>16.204999999999998</v>
      </c>
      <c r="P38" s="88">
        <v>1</v>
      </c>
      <c r="Q38" s="90">
        <v>5</v>
      </c>
      <c r="R38" s="91">
        <v>18.184999999999999</v>
      </c>
      <c r="S38" s="88">
        <v>3.73</v>
      </c>
      <c r="T38" s="88">
        <v>14.23</v>
      </c>
      <c r="U38" s="88">
        <v>1</v>
      </c>
      <c r="V38" s="90">
        <v>5.5</v>
      </c>
      <c r="W38" s="91">
        <v>24.625</v>
      </c>
      <c r="X38" s="88">
        <v>7.03</v>
      </c>
      <c r="Y38" s="88">
        <v>16.97</v>
      </c>
      <c r="Z38" s="88">
        <v>2</v>
      </c>
      <c r="AA38" s="90">
        <v>6.5</v>
      </c>
      <c r="AB38" s="1"/>
      <c r="BA38" s="1"/>
      <c r="BC38" s="1"/>
      <c r="BZ38" s="1"/>
      <c r="CY38" s="1"/>
      <c r="DA38" s="1"/>
      <c r="DX38" s="1"/>
      <c r="EW38" s="1"/>
    </row>
    <row r="39" spans="1:153" ht="15" customHeight="1" thickTop="1" thickBot="1" x14ac:dyDescent="0.3">
      <c r="A39" s="31" t="s">
        <v>39</v>
      </c>
      <c r="B39" s="32">
        <v>1</v>
      </c>
      <c r="C39" s="87">
        <v>26.195</v>
      </c>
      <c r="D39" s="88">
        <v>2.78</v>
      </c>
      <c r="E39" s="89">
        <v>23.42</v>
      </c>
      <c r="F39" s="88">
        <v>5</v>
      </c>
      <c r="G39" s="90">
        <v>10.5</v>
      </c>
      <c r="H39" s="91">
        <v>31.244999999999997</v>
      </c>
      <c r="I39" s="88">
        <v>11.309999999999999</v>
      </c>
      <c r="J39" s="88">
        <v>23.009999999999998</v>
      </c>
      <c r="K39" s="88">
        <v>6</v>
      </c>
      <c r="L39" s="90">
        <v>12</v>
      </c>
      <c r="M39" s="91">
        <v>45.19</v>
      </c>
      <c r="N39" s="88">
        <v>11.045</v>
      </c>
      <c r="O39" s="88">
        <v>35.379999999999995</v>
      </c>
      <c r="P39" s="88">
        <v>5</v>
      </c>
      <c r="Q39" s="90">
        <v>10</v>
      </c>
      <c r="R39" s="91">
        <v>27.004999999999999</v>
      </c>
      <c r="S39" s="88">
        <v>9.625</v>
      </c>
      <c r="T39" s="88">
        <v>21.28</v>
      </c>
      <c r="U39" s="88">
        <v>4</v>
      </c>
      <c r="V39" s="90">
        <v>8.5</v>
      </c>
      <c r="W39" s="91">
        <v>34.11</v>
      </c>
      <c r="X39" s="88">
        <v>14.52</v>
      </c>
      <c r="Y39" s="88">
        <v>19.29</v>
      </c>
      <c r="Z39" s="88">
        <v>6</v>
      </c>
      <c r="AA39" s="90">
        <v>10</v>
      </c>
      <c r="AB39" s="1"/>
    </row>
    <row r="40" spans="1:153" ht="15" customHeight="1" thickTop="1" thickBot="1" x14ac:dyDescent="0.3">
      <c r="A40" s="31" t="s">
        <v>39</v>
      </c>
      <c r="B40" s="32">
        <v>2</v>
      </c>
      <c r="C40" s="87">
        <v>17.14</v>
      </c>
      <c r="D40" s="88">
        <v>2.78</v>
      </c>
      <c r="E40" s="89">
        <v>14.37</v>
      </c>
      <c r="F40" s="88">
        <v>3</v>
      </c>
      <c r="G40" s="90">
        <v>8</v>
      </c>
      <c r="H40" s="91">
        <v>24.465</v>
      </c>
      <c r="I40" s="88">
        <v>5.99</v>
      </c>
      <c r="J40" s="88">
        <v>18.475000000000001</v>
      </c>
      <c r="K40" s="88">
        <v>5</v>
      </c>
      <c r="L40" s="90">
        <v>8</v>
      </c>
      <c r="M40" s="91">
        <v>30.130000000000003</v>
      </c>
      <c r="N40" s="88">
        <v>11.085000000000001</v>
      </c>
      <c r="O40" s="88">
        <v>19.11</v>
      </c>
      <c r="P40" s="88">
        <v>3</v>
      </c>
      <c r="Q40" s="90">
        <v>6</v>
      </c>
      <c r="R40" s="91">
        <v>19.479999999999997</v>
      </c>
      <c r="S40" s="88">
        <v>3.79</v>
      </c>
      <c r="T40" s="88">
        <v>15.244999999999999</v>
      </c>
      <c r="U40" s="88">
        <v>2.5</v>
      </c>
      <c r="V40" s="90">
        <v>6.5</v>
      </c>
      <c r="W40" s="91">
        <v>27.594999999999999</v>
      </c>
      <c r="X40" s="88">
        <v>7.0449999999999999</v>
      </c>
      <c r="Y40" s="88">
        <v>18.759999999999998</v>
      </c>
      <c r="Z40" s="88">
        <v>6</v>
      </c>
      <c r="AA40" s="90">
        <v>9.5</v>
      </c>
      <c r="AB40" s="2"/>
    </row>
    <row r="41" spans="1:153" ht="15" customHeight="1" thickTop="1" thickBot="1" x14ac:dyDescent="0.3">
      <c r="A41" s="31" t="s">
        <v>44</v>
      </c>
      <c r="B41" s="32">
        <v>1</v>
      </c>
      <c r="C41" s="94">
        <v>14.79</v>
      </c>
      <c r="D41" s="95">
        <v>2.76</v>
      </c>
      <c r="E41" s="96">
        <v>12.02</v>
      </c>
      <c r="F41" s="95">
        <v>1</v>
      </c>
      <c r="G41" s="97">
        <v>5</v>
      </c>
      <c r="H41" s="98">
        <v>20.54</v>
      </c>
      <c r="I41" s="95">
        <v>5.94</v>
      </c>
      <c r="J41" s="95">
        <v>10.239999999999998</v>
      </c>
      <c r="K41" s="95">
        <v>2</v>
      </c>
      <c r="L41" s="97">
        <v>6</v>
      </c>
      <c r="M41" s="98">
        <v>24.14</v>
      </c>
      <c r="N41" s="95">
        <v>9.81</v>
      </c>
      <c r="O41" s="95">
        <v>9.8999999999999986</v>
      </c>
      <c r="P41" s="95">
        <v>1</v>
      </c>
      <c r="Q41" s="97">
        <v>4</v>
      </c>
      <c r="R41" s="98">
        <v>18.739999999999998</v>
      </c>
      <c r="S41" s="95">
        <v>3.71</v>
      </c>
      <c r="T41" s="95">
        <v>12.389999999999999</v>
      </c>
      <c r="U41" s="95">
        <v>1</v>
      </c>
      <c r="V41" s="97">
        <v>4</v>
      </c>
      <c r="W41" s="98">
        <v>24.06</v>
      </c>
      <c r="X41" s="95">
        <v>7.08</v>
      </c>
      <c r="Y41" s="95">
        <v>13.490000000000002</v>
      </c>
      <c r="Z41" s="95">
        <v>1</v>
      </c>
      <c r="AA41" s="97">
        <v>5</v>
      </c>
      <c r="AB41" s="1"/>
    </row>
    <row r="42" spans="1:153" ht="15" customHeight="1" thickTop="1" thickBot="1" x14ac:dyDescent="0.3">
      <c r="A42" s="31" t="s">
        <v>44</v>
      </c>
      <c r="B42" s="32">
        <v>2</v>
      </c>
      <c r="C42" s="94">
        <v>9.6</v>
      </c>
      <c r="D42" s="95">
        <v>2.75</v>
      </c>
      <c r="E42" s="96">
        <v>6.85</v>
      </c>
      <c r="F42" s="95">
        <v>1</v>
      </c>
      <c r="G42" s="97">
        <v>4</v>
      </c>
      <c r="H42" s="98">
        <v>11.65</v>
      </c>
      <c r="I42" s="95">
        <v>5.95</v>
      </c>
      <c r="J42" s="95">
        <v>5.66</v>
      </c>
      <c r="K42" s="95">
        <v>3</v>
      </c>
      <c r="L42" s="97">
        <v>6</v>
      </c>
      <c r="M42" s="98">
        <v>21.52</v>
      </c>
      <c r="N42" s="95">
        <v>10.98</v>
      </c>
      <c r="O42" s="95">
        <v>10.48</v>
      </c>
      <c r="P42" s="95">
        <v>1</v>
      </c>
      <c r="Q42" s="97">
        <v>4</v>
      </c>
      <c r="R42" s="98">
        <v>12.76</v>
      </c>
      <c r="S42" s="95">
        <v>3.7</v>
      </c>
      <c r="T42" s="95">
        <v>9.0299999999999994</v>
      </c>
      <c r="U42" s="95">
        <v>1</v>
      </c>
      <c r="V42" s="97">
        <v>4</v>
      </c>
      <c r="W42" s="98">
        <v>20.11</v>
      </c>
      <c r="X42" s="95">
        <v>7.01</v>
      </c>
      <c r="Y42" s="95">
        <v>13.07</v>
      </c>
      <c r="Z42" s="95">
        <v>0</v>
      </c>
      <c r="AA42" s="97">
        <v>3</v>
      </c>
      <c r="AB42" s="1"/>
    </row>
    <row r="43" spans="1:153" ht="15" customHeight="1" thickTop="1" thickBot="1" x14ac:dyDescent="0.3">
      <c r="A43" s="31" t="s">
        <v>45</v>
      </c>
      <c r="B43" s="32">
        <v>1</v>
      </c>
      <c r="C43" s="94">
        <v>27.39</v>
      </c>
      <c r="D43" s="95">
        <v>2.81</v>
      </c>
      <c r="E43" s="96">
        <v>24.630000000000003</v>
      </c>
      <c r="F43" s="95">
        <v>7</v>
      </c>
      <c r="G43" s="97">
        <v>12</v>
      </c>
      <c r="H43" s="98">
        <v>94.15</v>
      </c>
      <c r="I43" s="95">
        <v>14.55</v>
      </c>
      <c r="J43" s="95">
        <v>83.78</v>
      </c>
      <c r="K43" s="95">
        <v>11</v>
      </c>
      <c r="L43" s="97">
        <v>14</v>
      </c>
      <c r="M43" s="98">
        <v>57.97</v>
      </c>
      <c r="N43" s="95">
        <v>19</v>
      </c>
      <c r="O43" s="95">
        <v>48.15</v>
      </c>
      <c r="P43" s="95">
        <v>12</v>
      </c>
      <c r="Q43" s="97">
        <v>19</v>
      </c>
      <c r="R43" s="98">
        <v>31.49</v>
      </c>
      <c r="S43" s="95">
        <v>9.9</v>
      </c>
      <c r="T43" s="95">
        <v>27.74</v>
      </c>
      <c r="U43" s="95">
        <v>7</v>
      </c>
      <c r="V43" s="97">
        <v>10</v>
      </c>
      <c r="W43" s="98">
        <v>35.880000000000003</v>
      </c>
      <c r="X43" s="95">
        <v>18.48</v>
      </c>
      <c r="Y43" s="95">
        <v>24.560000000000002</v>
      </c>
      <c r="Z43" s="95">
        <v>6</v>
      </c>
      <c r="AA43" s="97">
        <v>16</v>
      </c>
      <c r="AB43" s="1"/>
    </row>
    <row r="44" spans="1:153" ht="15" customHeight="1" thickTop="1" thickBot="1" x14ac:dyDescent="0.3">
      <c r="A44" s="31" t="s">
        <v>45</v>
      </c>
      <c r="B44" s="32">
        <v>2</v>
      </c>
      <c r="C44" s="94">
        <v>18.84</v>
      </c>
      <c r="D44" s="95">
        <v>2.8</v>
      </c>
      <c r="E44" s="96">
        <v>16.079999999999998</v>
      </c>
      <c r="F44" s="95">
        <v>5</v>
      </c>
      <c r="G44" s="97">
        <v>8</v>
      </c>
      <c r="H44" s="98">
        <v>28.32</v>
      </c>
      <c r="I44" s="95">
        <v>6.01</v>
      </c>
      <c r="J44" s="95">
        <v>22.34</v>
      </c>
      <c r="K44" s="95">
        <v>11</v>
      </c>
      <c r="L44" s="97">
        <v>15</v>
      </c>
      <c r="M44" s="98">
        <v>32.159999999999997</v>
      </c>
      <c r="N44" s="95">
        <v>11.1</v>
      </c>
      <c r="O44" s="95">
        <v>21.089999999999996</v>
      </c>
      <c r="P44" s="95">
        <v>5</v>
      </c>
      <c r="Q44" s="97">
        <v>12</v>
      </c>
      <c r="R44" s="98">
        <v>22.55</v>
      </c>
      <c r="S44" s="95">
        <v>7.99</v>
      </c>
      <c r="T44" s="95">
        <v>18.82</v>
      </c>
      <c r="U44" s="95">
        <v>5</v>
      </c>
      <c r="V44" s="97">
        <v>9</v>
      </c>
      <c r="W44" s="98">
        <v>36.799999999999997</v>
      </c>
      <c r="X44" s="95">
        <v>15.59</v>
      </c>
      <c r="Y44" s="95">
        <v>29.779999999999998</v>
      </c>
      <c r="Z44" s="95">
        <v>6</v>
      </c>
      <c r="AA44" s="97">
        <v>11</v>
      </c>
      <c r="AB44" s="1"/>
    </row>
    <row r="45" spans="1:153" ht="15" customHeight="1" thickTop="1" thickBot="1" x14ac:dyDescent="0.3">
      <c r="A45" s="31" t="s">
        <v>23</v>
      </c>
      <c r="B45" s="32">
        <v>1</v>
      </c>
      <c r="C45" s="53">
        <v>12.600000000000001</v>
      </c>
      <c r="D45" s="52">
        <v>5.0000000000000266E-2</v>
      </c>
      <c r="E45" s="75">
        <v>12.610000000000003</v>
      </c>
      <c r="F45" s="52">
        <v>6</v>
      </c>
      <c r="G45" s="78">
        <v>7</v>
      </c>
      <c r="H45" s="56">
        <v>73.610000000000014</v>
      </c>
      <c r="I45" s="52">
        <v>8.61</v>
      </c>
      <c r="J45" s="52">
        <v>73.540000000000006</v>
      </c>
      <c r="K45" s="52">
        <v>9</v>
      </c>
      <c r="L45" s="78">
        <v>8</v>
      </c>
      <c r="M45" s="56">
        <v>33.83</v>
      </c>
      <c r="N45" s="52">
        <v>9.19</v>
      </c>
      <c r="O45" s="52">
        <v>38.25</v>
      </c>
      <c r="P45" s="52">
        <v>11</v>
      </c>
      <c r="Q45" s="78">
        <v>15</v>
      </c>
      <c r="R45" s="56">
        <v>12.75</v>
      </c>
      <c r="S45" s="52">
        <v>6.19</v>
      </c>
      <c r="T45" s="52">
        <v>15.35</v>
      </c>
      <c r="U45" s="52">
        <v>6</v>
      </c>
      <c r="V45" s="78">
        <v>6</v>
      </c>
      <c r="W45" s="56">
        <v>11.820000000000004</v>
      </c>
      <c r="X45" s="52">
        <v>11.4</v>
      </c>
      <c r="Y45" s="52">
        <v>11.07</v>
      </c>
      <c r="Z45" s="52">
        <v>5</v>
      </c>
      <c r="AA45" s="78">
        <v>11</v>
      </c>
      <c r="AB45" s="2"/>
    </row>
    <row r="46" spans="1:153" ht="15" customHeight="1" thickTop="1" thickBot="1" x14ac:dyDescent="0.3">
      <c r="A46" s="31" t="s">
        <v>23</v>
      </c>
      <c r="B46" s="32">
        <v>2</v>
      </c>
      <c r="C46" s="53">
        <v>9.24</v>
      </c>
      <c r="D46" s="52">
        <v>4.9999999999999822E-2</v>
      </c>
      <c r="E46" s="75">
        <v>9.2299999999999986</v>
      </c>
      <c r="F46" s="52">
        <v>4</v>
      </c>
      <c r="G46" s="78">
        <v>4</v>
      </c>
      <c r="H46" s="56">
        <v>16.670000000000002</v>
      </c>
      <c r="I46" s="52">
        <v>5.9999999999999609E-2</v>
      </c>
      <c r="J46" s="52">
        <v>16.68</v>
      </c>
      <c r="K46" s="52">
        <v>8</v>
      </c>
      <c r="L46" s="78">
        <v>9</v>
      </c>
      <c r="M46" s="56">
        <v>10.639999999999997</v>
      </c>
      <c r="N46" s="52">
        <v>0.11999999999999922</v>
      </c>
      <c r="O46" s="52">
        <v>10.609999999999996</v>
      </c>
      <c r="P46" s="52">
        <v>4</v>
      </c>
      <c r="Q46" s="78">
        <v>8</v>
      </c>
      <c r="R46" s="56">
        <v>9.7900000000000009</v>
      </c>
      <c r="S46" s="52">
        <v>4.29</v>
      </c>
      <c r="T46" s="52">
        <v>9.7900000000000009</v>
      </c>
      <c r="U46" s="52">
        <v>4</v>
      </c>
      <c r="V46" s="78">
        <v>5</v>
      </c>
      <c r="W46" s="56">
        <v>16.689999999999998</v>
      </c>
      <c r="X46" s="52">
        <v>8.58</v>
      </c>
      <c r="Y46" s="52">
        <v>16.709999999999997</v>
      </c>
      <c r="Z46" s="52">
        <v>6</v>
      </c>
      <c r="AA46" s="78">
        <v>8</v>
      </c>
      <c r="AB46" s="3"/>
    </row>
    <row r="47" spans="1:153" ht="15" customHeight="1" thickTop="1" thickBot="1" x14ac:dyDescent="0.3">
      <c r="A47" s="31" t="s">
        <v>38</v>
      </c>
      <c r="B47" s="32">
        <v>1</v>
      </c>
      <c r="C47" s="53">
        <v>3.3032252757301039</v>
      </c>
      <c r="D47" s="52">
        <v>1.3123346456686391E-2</v>
      </c>
      <c r="E47" s="75">
        <v>3.3035397681880569</v>
      </c>
      <c r="F47" s="52">
        <v>1.7950549357115015</v>
      </c>
      <c r="G47" s="78">
        <v>2.0598678490513795</v>
      </c>
      <c r="H47" s="56">
        <v>18.637526417747132</v>
      </c>
      <c r="I47" s="52">
        <v>3.0380361895291652</v>
      </c>
      <c r="J47" s="52">
        <v>18.639377727899969</v>
      </c>
      <c r="K47" s="52">
        <v>2.6180463454008347</v>
      </c>
      <c r="L47" s="78">
        <v>2.6601482832520613</v>
      </c>
      <c r="M47" s="56">
        <v>10.397349822591011</v>
      </c>
      <c r="N47" s="52">
        <v>2.4180570712867797</v>
      </c>
      <c r="O47" s="52">
        <v>11.573004507617428</v>
      </c>
      <c r="P47" s="52">
        <v>3.0505008696205209</v>
      </c>
      <c r="Q47" s="78">
        <v>4.3204937989385739</v>
      </c>
      <c r="R47" s="56">
        <v>3.7050708495250126</v>
      </c>
      <c r="S47" s="52">
        <v>2.556623614370241</v>
      </c>
      <c r="T47" s="52">
        <v>4.0897543902075864</v>
      </c>
      <c r="U47" s="52">
        <v>2.2530843057659626</v>
      </c>
      <c r="V47" s="78">
        <v>2.0598678490513791</v>
      </c>
      <c r="W47" s="56">
        <v>3.9935019267416032</v>
      </c>
      <c r="X47" s="52">
        <v>2.9403924294027299</v>
      </c>
      <c r="Y47" s="52">
        <v>3.3226344969015176</v>
      </c>
      <c r="Z47" s="52">
        <v>2.1147629234082532</v>
      </c>
      <c r="AA47" s="78">
        <v>2.9860788111948193</v>
      </c>
      <c r="AB47" s="1"/>
    </row>
    <row r="48" spans="1:153" ht="15" customHeight="1" thickTop="1" thickBot="1" x14ac:dyDescent="0.3">
      <c r="A48" s="31" t="s">
        <v>38</v>
      </c>
      <c r="B48" s="32">
        <v>2</v>
      </c>
      <c r="C48" s="53">
        <v>2.5979173015235792</v>
      </c>
      <c r="D48" s="52">
        <v>1.5877132402714659E-2</v>
      </c>
      <c r="E48" s="75">
        <v>2.536091152410207</v>
      </c>
      <c r="F48" s="52">
        <v>1.4409680388158819</v>
      </c>
      <c r="G48" s="78">
        <v>1.5877132402714709</v>
      </c>
      <c r="H48" s="56">
        <v>4.546998017618022</v>
      </c>
      <c r="I48" s="52">
        <v>1.863389981249821E-2</v>
      </c>
      <c r="J48" s="52">
        <v>4.5488205888999405</v>
      </c>
      <c r="K48" s="52">
        <v>2.2298480267099423</v>
      </c>
      <c r="L48" s="78">
        <v>2.4267032964268398</v>
      </c>
      <c r="M48" s="56">
        <v>3.7728069420820121</v>
      </c>
      <c r="N48" s="52">
        <v>3.9255219044379563E-2</v>
      </c>
      <c r="O48" s="52">
        <v>3.7761733827602066</v>
      </c>
      <c r="P48" s="52">
        <v>1.2801909579781012</v>
      </c>
      <c r="Q48" s="78">
        <v>2.2110831935702664</v>
      </c>
      <c r="R48" s="56">
        <v>2.491868302878161</v>
      </c>
      <c r="S48" s="52">
        <v>1.2141938340589062</v>
      </c>
      <c r="T48" s="52">
        <v>2.4817986029401249</v>
      </c>
      <c r="U48" s="52">
        <v>1.178511301977579</v>
      </c>
      <c r="V48" s="78">
        <v>1.5986105077709065</v>
      </c>
      <c r="W48" s="56">
        <v>4.8614563290118005</v>
      </c>
      <c r="X48" s="52">
        <v>2.3663855466841315</v>
      </c>
      <c r="Y48" s="52">
        <v>4.976407882867588</v>
      </c>
      <c r="Z48" s="52">
        <v>1.9148542155126762</v>
      </c>
      <c r="AA48" s="78">
        <v>2.5644470922381863</v>
      </c>
      <c r="AB48" s="1"/>
    </row>
    <row r="49" spans="1:153" ht="15" customHeight="1" thickTop="1" thickBot="1" x14ac:dyDescent="0.3">
      <c r="A49" s="31" t="s">
        <v>24</v>
      </c>
      <c r="B49" s="32">
        <v>1</v>
      </c>
      <c r="C49" s="53">
        <v>1.8174777235856576</v>
      </c>
      <c r="D49" s="52">
        <v>0.11455717549191928</v>
      </c>
      <c r="E49" s="75">
        <v>1.8175642404570072</v>
      </c>
      <c r="F49" s="52">
        <v>1.3397966023660091</v>
      </c>
      <c r="G49" s="78">
        <v>1.4352239717379931</v>
      </c>
      <c r="H49" s="56">
        <v>4.3171201532673527</v>
      </c>
      <c r="I49" s="52">
        <v>1.7429963251622664</v>
      </c>
      <c r="J49" s="52">
        <v>4.3173345628871491</v>
      </c>
      <c r="K49" s="52">
        <v>1.6180378071605233</v>
      </c>
      <c r="L49" s="78">
        <v>1.6309961015441028</v>
      </c>
      <c r="M49" s="56">
        <v>3.2244921805752624</v>
      </c>
      <c r="N49" s="52">
        <v>1.5550103122766676</v>
      </c>
      <c r="O49" s="52">
        <v>3.4019118900432193</v>
      </c>
      <c r="P49" s="52">
        <v>1.7465683123257794</v>
      </c>
      <c r="Q49" s="78">
        <v>2.0785797552508236</v>
      </c>
      <c r="R49" s="56">
        <v>1.9248560594301622</v>
      </c>
      <c r="S49" s="52">
        <v>1.5989445313613107</v>
      </c>
      <c r="T49" s="52">
        <v>2.0223141175909309</v>
      </c>
      <c r="U49" s="52">
        <v>1.5010277498320819</v>
      </c>
      <c r="V49" s="78">
        <v>1.4352239717379929</v>
      </c>
      <c r="W49" s="56">
        <v>1.9983748213840173</v>
      </c>
      <c r="X49" s="52">
        <v>1.7147572508675186</v>
      </c>
      <c r="Y49" s="52">
        <v>1.8228095064766141</v>
      </c>
      <c r="Z49" s="52">
        <v>1.454222446329396</v>
      </c>
      <c r="AA49" s="78">
        <v>1.7280274335770307</v>
      </c>
      <c r="AB49" s="1"/>
    </row>
    <row r="50" spans="1:153" ht="15" customHeight="1" thickTop="1" thickBot="1" x14ac:dyDescent="0.3">
      <c r="A50" s="31" t="s">
        <v>24</v>
      </c>
      <c r="B50" s="32">
        <v>2</v>
      </c>
      <c r="C50" s="53">
        <v>1.6118056028949581</v>
      </c>
      <c r="D50" s="52">
        <v>0.12600449358143803</v>
      </c>
      <c r="E50" s="75">
        <v>1.5925109583328483</v>
      </c>
      <c r="F50" s="52">
        <v>1.2004032817415495</v>
      </c>
      <c r="G50" s="78">
        <v>1.2600449358143824</v>
      </c>
      <c r="H50" s="56">
        <v>2.1323691091408219</v>
      </c>
      <c r="I50" s="52">
        <v>0.1365060431354532</v>
      </c>
      <c r="J50" s="52">
        <v>2.132796424626584</v>
      </c>
      <c r="K50" s="52">
        <v>1.4932675670186981</v>
      </c>
      <c r="L50" s="78">
        <v>1.5577879497630092</v>
      </c>
      <c r="M50" s="56">
        <v>1.9423714737613946</v>
      </c>
      <c r="N50" s="52">
        <v>0.19812929880353275</v>
      </c>
      <c r="O50" s="52">
        <v>1.9432378605719389</v>
      </c>
      <c r="P50" s="52">
        <v>1.1314552390519481</v>
      </c>
      <c r="Q50" s="78">
        <v>1.4869711475244791</v>
      </c>
      <c r="R50" s="56">
        <v>1.5785652672215238</v>
      </c>
      <c r="S50" s="52">
        <v>1.101904639276424</v>
      </c>
      <c r="T50" s="52">
        <v>1.5753725283056466</v>
      </c>
      <c r="U50" s="52">
        <v>1.0855926040543842</v>
      </c>
      <c r="V50" s="78">
        <v>1.2643616997405871</v>
      </c>
      <c r="W50" s="56">
        <v>2.2048710458917546</v>
      </c>
      <c r="X50" s="52">
        <v>1.5383060640471165</v>
      </c>
      <c r="Y50" s="52">
        <v>2.2307863821683123</v>
      </c>
      <c r="Z50" s="52">
        <v>1.3837825752309054</v>
      </c>
      <c r="AA50" s="78">
        <v>1.6013891133132467</v>
      </c>
      <c r="AB50" s="1"/>
    </row>
    <row r="51" spans="1:153" ht="15" customHeight="1" thickTop="1" thickBot="1" x14ac:dyDescent="0.3">
      <c r="A51" s="31" t="s">
        <v>42</v>
      </c>
      <c r="B51" s="32">
        <v>1</v>
      </c>
      <c r="C51" s="53">
        <v>7.8098305102871493</v>
      </c>
      <c r="D51" s="52">
        <v>4.1257086011495536</v>
      </c>
      <c r="E51" s="75">
        <v>8.8683300339448987</v>
      </c>
      <c r="F51" s="52">
        <v>40.193898070980268</v>
      </c>
      <c r="G51" s="78">
        <v>15.800630881519188</v>
      </c>
      <c r="H51" s="56">
        <v>12.891094592581737</v>
      </c>
      <c r="I51" s="52">
        <v>17.965947347489433</v>
      </c>
      <c r="J51" s="52">
        <v>18.149593538148814</v>
      </c>
      <c r="K51" s="52">
        <v>30.819767755438537</v>
      </c>
      <c r="L51" s="78">
        <v>17.01908975524281</v>
      </c>
      <c r="M51" s="56">
        <v>8.9000612215712476</v>
      </c>
      <c r="N51" s="52">
        <v>13.884020645327393</v>
      </c>
      <c r="O51" s="52">
        <v>13.591337954627324</v>
      </c>
      <c r="P51" s="52">
        <v>45.562651625889892</v>
      </c>
      <c r="Q51" s="78">
        <v>25.982246940635296</v>
      </c>
      <c r="R51" s="56">
        <v>7.6656951789333414</v>
      </c>
      <c r="S51" s="52">
        <v>24.678243570849816</v>
      </c>
      <c r="T51" s="52">
        <v>10.854662705681074</v>
      </c>
      <c r="U51" s="52">
        <v>48.681981075635086</v>
      </c>
      <c r="V51" s="78">
        <v>20.750226097416764</v>
      </c>
      <c r="W51" s="56">
        <v>6.5809977926420071</v>
      </c>
      <c r="X51" s="52">
        <v>13.581339192403288</v>
      </c>
      <c r="Y51" s="52">
        <v>10.275138142483732</v>
      </c>
      <c r="Z51" s="52">
        <v>37.936237730332067</v>
      </c>
      <c r="AA51" s="78">
        <v>20.329734512670949</v>
      </c>
    </row>
    <row r="52" spans="1:153" ht="15" customHeight="1" thickTop="1" thickBot="1" x14ac:dyDescent="0.3">
      <c r="A52" s="31" t="s">
        <v>42</v>
      </c>
      <c r="B52" s="32">
        <v>2</v>
      </c>
      <c r="C52" s="53">
        <v>10.784314042229996</v>
      </c>
      <c r="D52" s="52">
        <v>4.5447968830094867</v>
      </c>
      <c r="E52" s="75">
        <v>12.837653835814981</v>
      </c>
      <c r="F52" s="52">
        <v>49.671859934133089</v>
      </c>
      <c r="G52" s="78">
        <v>20.160718973030118</v>
      </c>
      <c r="H52" s="56">
        <v>10.177967984443683</v>
      </c>
      <c r="I52" s="52">
        <v>2.2833461355247255</v>
      </c>
      <c r="J52" s="52">
        <v>14.244758220915569</v>
      </c>
      <c r="K52" s="52">
        <v>35.838421608448755</v>
      </c>
      <c r="L52" s="78">
        <v>20.318973257778378</v>
      </c>
      <c r="M52" s="56">
        <v>7.2621067064857714</v>
      </c>
      <c r="N52" s="52">
        <v>1.793160559350172</v>
      </c>
      <c r="O52" s="52">
        <v>12.379282437152025</v>
      </c>
      <c r="P52" s="52">
        <v>61.715740311924442</v>
      </c>
      <c r="Q52" s="78">
        <v>26.240667309255514</v>
      </c>
      <c r="R52" s="56">
        <v>8.7848551716636312</v>
      </c>
      <c r="S52" s="52">
        <v>26.049755065636504</v>
      </c>
      <c r="T52" s="52">
        <v>11.466288797032666</v>
      </c>
      <c r="U52" s="52">
        <v>65.135556243263053</v>
      </c>
      <c r="V52" s="78">
        <v>22.31226528953977</v>
      </c>
      <c r="W52" s="56">
        <v>8.5912434817355781</v>
      </c>
      <c r="X52" s="52">
        <v>19.870476607713023</v>
      </c>
      <c r="Y52" s="52">
        <v>12.446848275454386</v>
      </c>
      <c r="Z52" s="52">
        <v>46.126085841030182</v>
      </c>
      <c r="AA52" s="78">
        <v>22.607846305598777</v>
      </c>
    </row>
    <row r="53" spans="1:153" ht="15" customHeight="1" thickTop="1" thickBot="1" x14ac:dyDescent="0.3">
      <c r="A53" s="31" t="s">
        <v>40</v>
      </c>
      <c r="B53" s="32">
        <v>1</v>
      </c>
      <c r="C53" s="82">
        <v>31.044664406993423</v>
      </c>
      <c r="D53" s="83">
        <v>4.8070381231669874E-4</v>
      </c>
      <c r="E53" s="84">
        <v>30.843092346276553</v>
      </c>
      <c r="F53" s="83">
        <v>-1.1435736677116006</v>
      </c>
      <c r="G53" s="85">
        <v>-2.5856866537717611</v>
      </c>
      <c r="H53" s="86">
        <v>4494.1144540082842</v>
      </c>
      <c r="I53" s="83">
        <v>-11.70851317064005</v>
      </c>
      <c r="J53" s="83">
        <v>4240.0171997673206</v>
      </c>
      <c r="K53" s="83">
        <v>1.9291516993644655</v>
      </c>
      <c r="L53" s="85">
        <v>-12.095066464448207</v>
      </c>
      <c r="M53" s="86">
        <v>-52.542798641191425</v>
      </c>
      <c r="N53" s="83">
        <v>72.144036222087664</v>
      </c>
      <c r="O53" s="83">
        <v>-110.27104338800963</v>
      </c>
      <c r="P53" s="83">
        <v>35.823500678426029</v>
      </c>
      <c r="Q53" s="85">
        <v>47.119480519480511</v>
      </c>
      <c r="R53" s="86">
        <v>-8.3560369318368153</v>
      </c>
      <c r="S53" s="83">
        <v>-15.055669239946832</v>
      </c>
      <c r="T53" s="83">
        <v>11.742339112561073</v>
      </c>
      <c r="U53" s="83">
        <v>-5.0217634622559446</v>
      </c>
      <c r="V53" s="85">
        <v>-8.0820116054158611</v>
      </c>
      <c r="W53" s="86">
        <v>-25.252122404168418</v>
      </c>
      <c r="X53" s="83">
        <v>2.9955232914182401</v>
      </c>
      <c r="Y53" s="83">
        <v>0.5648525252451817</v>
      </c>
      <c r="Z53" s="83">
        <v>-10.556747600225867</v>
      </c>
      <c r="AA53" s="85">
        <v>22.034324553950725</v>
      </c>
    </row>
    <row r="54" spans="1:153" ht="15" customHeight="1" thickTop="1" thickBot="1" x14ac:dyDescent="0.3">
      <c r="A54" s="31" t="s">
        <v>40</v>
      </c>
      <c r="B54" s="32">
        <v>2</v>
      </c>
      <c r="C54" s="82">
        <v>-1.7168669236873735</v>
      </c>
      <c r="D54" s="83">
        <v>-1.3806160781369329E-4</v>
      </c>
      <c r="E54" s="84">
        <v>2.7858444346137019</v>
      </c>
      <c r="F54" s="83">
        <v>-1.6411067193675875</v>
      </c>
      <c r="G54" s="85">
        <v>-4.7561232156273467</v>
      </c>
      <c r="H54" s="86">
        <v>-0.41686644304635068</v>
      </c>
      <c r="I54" s="83">
        <v>-1.4347636363642321E-4</v>
      </c>
      <c r="J54" s="83">
        <v>-0.3810933792584888</v>
      </c>
      <c r="K54" s="83">
        <v>45.747486033519586</v>
      </c>
      <c r="L54" s="85">
        <v>50.247684391080583</v>
      </c>
      <c r="M54" s="86">
        <v>-25.815374001274456</v>
      </c>
      <c r="N54" s="83">
        <v>-2.539060182719567E-3</v>
      </c>
      <c r="O54" s="83">
        <v>-26.002444760379916</v>
      </c>
      <c r="P54" s="83">
        <v>2.7069337442218853</v>
      </c>
      <c r="Q54" s="85">
        <v>29.851239669421496</v>
      </c>
      <c r="R54" s="86">
        <v>3.4968407298623201</v>
      </c>
      <c r="S54" s="83">
        <v>14.498542400289429</v>
      </c>
      <c r="T54" s="83">
        <v>3.2039711090333145</v>
      </c>
      <c r="U54" s="83">
        <v>7.8807272727272695</v>
      </c>
      <c r="V54" s="85">
        <v>-0.70197628458498373</v>
      </c>
      <c r="W54" s="86">
        <v>25.98592701552505</v>
      </c>
      <c r="X54" s="83">
        <v>79.966200061436439</v>
      </c>
      <c r="Y54" s="83">
        <v>48.097388439280927</v>
      </c>
      <c r="Z54" s="83">
        <v>-3.332231404958677</v>
      </c>
      <c r="AA54" s="85">
        <v>-12.878256695785726</v>
      </c>
    </row>
    <row r="55" spans="1:153" ht="15" customHeight="1" thickTop="1" thickBot="1" x14ac:dyDescent="0.3">
      <c r="A55" s="31" t="s">
        <v>41</v>
      </c>
      <c r="B55" s="32">
        <v>1</v>
      </c>
      <c r="C55" s="82">
        <v>-8.7719647624809767</v>
      </c>
      <c r="D55" s="83">
        <v>2.1124208782790422E-3</v>
      </c>
      <c r="E55" s="84">
        <v>-8.7308675305956616</v>
      </c>
      <c r="F55" s="83">
        <v>1.1289571370406979</v>
      </c>
      <c r="G55" s="85">
        <v>-1.0972704740929209</v>
      </c>
      <c r="H55" s="86">
        <v>296.94858314200428</v>
      </c>
      <c r="I55" s="83">
        <v>0.60412293130222294</v>
      </c>
      <c r="J55" s="83">
        <v>284.2949958261799</v>
      </c>
      <c r="K55" s="83">
        <v>4.3554233496089951</v>
      </c>
      <c r="L55" s="85">
        <v>0.90552368089296209</v>
      </c>
      <c r="M55" s="86">
        <v>30.679453977502831</v>
      </c>
      <c r="N55" s="83">
        <v>13.407344955667243</v>
      </c>
      <c r="O55" s="83">
        <v>28.202287028197688</v>
      </c>
      <c r="P55" s="83">
        <v>9.7030519647037536</v>
      </c>
      <c r="Q55" s="85">
        <v>14.941479149757541</v>
      </c>
      <c r="R55" s="86">
        <v>1.4012060782078157</v>
      </c>
      <c r="S55" s="83">
        <v>1.3861227445225124</v>
      </c>
      <c r="T55" s="83">
        <v>6.3967241543412703</v>
      </c>
      <c r="U55" s="83">
        <v>3.4116133759396976</v>
      </c>
      <c r="V55" s="85">
        <v>0.65446725614976797</v>
      </c>
      <c r="W55" s="86">
        <v>-2.8570989426806852</v>
      </c>
      <c r="X55" s="83">
        <v>0.87387581004278014</v>
      </c>
      <c r="Y55" s="83">
        <v>6.5796988385814199</v>
      </c>
      <c r="Z55" s="83">
        <v>-1.2454910257438907</v>
      </c>
      <c r="AA55" s="85">
        <v>6.0887641227958058</v>
      </c>
    </row>
    <row r="56" spans="1:153" ht="15" customHeight="1" thickTop="1" x14ac:dyDescent="0.25">
      <c r="A56" s="31" t="s">
        <v>41</v>
      </c>
      <c r="B56" s="32">
        <v>2</v>
      </c>
      <c r="C56" s="82">
        <v>-1.8758474878393663</v>
      </c>
      <c r="D56" s="83">
        <v>8.7928605288058192E-4</v>
      </c>
      <c r="E56" s="84">
        <v>-3.0877291995326503</v>
      </c>
      <c r="F56" s="83">
        <v>1.3235458987253133</v>
      </c>
      <c r="G56" s="85">
        <v>-0.75659497573467638</v>
      </c>
      <c r="H56" s="86">
        <v>-6.6300575443062408</v>
      </c>
      <c r="I56" s="83">
        <v>8.1010131780690853E-4</v>
      </c>
      <c r="J56" s="83">
        <v>-6.6464670735765079</v>
      </c>
      <c r="K56" s="83">
        <v>10.094458417493987</v>
      </c>
      <c r="L56" s="85">
        <v>10.767173794794202</v>
      </c>
      <c r="M56" s="86">
        <v>-0.18726083237929061</v>
      </c>
      <c r="N56" s="83">
        <v>-1.974393487687597E-3</v>
      </c>
      <c r="O56" s="83">
        <v>-0.32971961346022283</v>
      </c>
      <c r="P56" s="83">
        <v>2.4016837246809946</v>
      </c>
      <c r="Q56" s="85">
        <v>7.8010684665168561</v>
      </c>
      <c r="R56" s="86">
        <v>-1.2371654666388678</v>
      </c>
      <c r="S56" s="83">
        <v>4.3453587298889111</v>
      </c>
      <c r="T56" s="83">
        <v>0.24263755746187968</v>
      </c>
      <c r="U56" s="83">
        <v>3.1644037505817977</v>
      </c>
      <c r="V56" s="85">
        <v>1.7870978016886701</v>
      </c>
      <c r="W56" s="86">
        <v>14.814013911269742</v>
      </c>
      <c r="X56" s="83">
        <v>14.367654026918665</v>
      </c>
      <c r="Y56" s="83">
        <v>18.717303644254507</v>
      </c>
      <c r="Z56" s="83">
        <v>1.9761787520652927</v>
      </c>
      <c r="AA56" s="85">
        <v>0.29921702698981717</v>
      </c>
    </row>
    <row r="57" spans="1:153" ht="15" customHeight="1" x14ac:dyDescent="0.25">
      <c r="AB57" s="1"/>
      <c r="BA57" s="1"/>
      <c r="BC57" s="1"/>
      <c r="BZ57" s="1"/>
      <c r="CY57" s="1"/>
      <c r="DA57" s="1"/>
      <c r="DX57" s="1"/>
      <c r="EW57" s="1" t="s">
        <v>0</v>
      </c>
    </row>
    <row r="58" spans="1:153" ht="15" customHeight="1" x14ac:dyDescent="0.25">
      <c r="AB58" s="1"/>
      <c r="BA58" s="1"/>
      <c r="BC58" s="1"/>
      <c r="BZ58" s="1"/>
      <c r="CY58" s="1"/>
      <c r="DA58" s="1"/>
      <c r="DX58" s="1"/>
      <c r="EW58" s="1"/>
    </row>
    <row r="59" spans="1:153" ht="15" customHeight="1" x14ac:dyDescent="0.25">
      <c r="AB59" s="1"/>
    </row>
    <row r="60" spans="1:153" ht="15" customHeight="1" x14ac:dyDescent="0.25">
      <c r="AB60" s="2"/>
    </row>
    <row r="61" spans="1:153" ht="15" customHeight="1" x14ac:dyDescent="0.25">
      <c r="A61" s="5"/>
      <c r="B61" s="33" t="s">
        <v>16</v>
      </c>
      <c r="C61" s="49"/>
      <c r="D61" s="50"/>
      <c r="E61" s="50" t="s">
        <v>3</v>
      </c>
      <c r="F61" s="57"/>
      <c r="G61" s="58"/>
      <c r="H61" s="54"/>
      <c r="I61" s="54"/>
      <c r="J61" s="54" t="s">
        <v>4</v>
      </c>
      <c r="K61" s="62"/>
      <c r="L61" s="63"/>
      <c r="M61" s="50"/>
      <c r="N61" s="50"/>
      <c r="O61" s="50" t="s">
        <v>5</v>
      </c>
      <c r="P61" s="57"/>
      <c r="Q61" s="58"/>
      <c r="R61" s="54"/>
      <c r="S61" s="54"/>
      <c r="T61" s="54" t="s">
        <v>6</v>
      </c>
      <c r="U61" s="62"/>
      <c r="V61" s="63"/>
      <c r="W61" s="50"/>
      <c r="X61" s="50"/>
      <c r="Y61" s="50" t="s">
        <v>35</v>
      </c>
      <c r="Z61" s="57"/>
      <c r="AA61" s="66"/>
    </row>
    <row r="62" spans="1:153" ht="15" customHeight="1" thickBot="1" x14ac:dyDescent="0.3">
      <c r="A62" s="12"/>
      <c r="B62" s="18"/>
      <c r="C62" s="51" t="s">
        <v>7</v>
      </c>
      <c r="D62" s="51" t="s">
        <v>8</v>
      </c>
      <c r="E62" s="51" t="s">
        <v>36</v>
      </c>
      <c r="F62" s="59" t="s">
        <v>10</v>
      </c>
      <c r="G62" s="60" t="s">
        <v>9</v>
      </c>
      <c r="H62" s="55" t="s">
        <v>7</v>
      </c>
      <c r="I62" s="55" t="s">
        <v>8</v>
      </c>
      <c r="J62" s="55" t="s">
        <v>36</v>
      </c>
      <c r="K62" s="64" t="s">
        <v>10</v>
      </c>
      <c r="L62" s="65" t="s">
        <v>9</v>
      </c>
      <c r="M62" s="51" t="s">
        <v>7</v>
      </c>
      <c r="N62" s="51" t="s">
        <v>8</v>
      </c>
      <c r="O62" s="51" t="s">
        <v>36</v>
      </c>
      <c r="P62" s="59" t="s">
        <v>10</v>
      </c>
      <c r="Q62" s="60" t="s">
        <v>9</v>
      </c>
      <c r="R62" s="55" t="s">
        <v>7</v>
      </c>
      <c r="S62" s="55" t="s">
        <v>8</v>
      </c>
      <c r="T62" s="55" t="s">
        <v>36</v>
      </c>
      <c r="U62" s="64" t="s">
        <v>10</v>
      </c>
      <c r="V62" s="65" t="s">
        <v>9</v>
      </c>
      <c r="W62" s="51" t="s">
        <v>7</v>
      </c>
      <c r="X62" s="51" t="s">
        <v>8</v>
      </c>
      <c r="Y62" s="51" t="s">
        <v>36</v>
      </c>
      <c r="Z62" s="59" t="s">
        <v>10</v>
      </c>
      <c r="AA62" s="60" t="s">
        <v>9</v>
      </c>
    </row>
    <row r="63" spans="1:153" ht="15" customHeight="1" thickTop="1" thickBot="1" x14ac:dyDescent="0.3">
      <c r="A63" s="31" t="s">
        <v>14</v>
      </c>
      <c r="B63" s="32">
        <v>1</v>
      </c>
      <c r="C63" s="92">
        <v>21.712222222222223</v>
      </c>
      <c r="D63" s="88">
        <v>2.7633333333333332</v>
      </c>
      <c r="E63" s="89">
        <v>18.948888888888892</v>
      </c>
      <c r="F63" s="88">
        <v>1.4444444444444444</v>
      </c>
      <c r="G63" s="90">
        <v>6.333333333333333</v>
      </c>
      <c r="H63" s="91">
        <v>26.587777777777781</v>
      </c>
      <c r="I63" s="88">
        <v>10.512222222222221</v>
      </c>
      <c r="J63" s="88">
        <v>16.075555555555557</v>
      </c>
      <c r="K63" s="88">
        <v>3.1111111111111112</v>
      </c>
      <c r="L63" s="90">
        <v>7.5555555555555554</v>
      </c>
      <c r="M63" s="91">
        <v>29.117777777777778</v>
      </c>
      <c r="N63" s="88">
        <v>10.777777777777777</v>
      </c>
      <c r="O63" s="88">
        <v>18.34</v>
      </c>
      <c r="P63" s="88">
        <v>1.6666666666666667</v>
      </c>
      <c r="Q63" s="90">
        <v>6</v>
      </c>
      <c r="R63" s="91">
        <v>21.545555555555556</v>
      </c>
      <c r="S63" s="88">
        <v>5.5622222222222222</v>
      </c>
      <c r="T63" s="88">
        <v>15.983333333333333</v>
      </c>
      <c r="U63" s="88">
        <v>2</v>
      </c>
      <c r="V63" s="90">
        <v>5.666666666666667</v>
      </c>
      <c r="W63" s="91">
        <v>25.224444444444444</v>
      </c>
      <c r="X63" s="88">
        <v>9.3888888888888893</v>
      </c>
      <c r="Y63" s="88">
        <v>15.835555555555556</v>
      </c>
      <c r="Z63" s="88">
        <v>1.6666666666666667</v>
      </c>
      <c r="AA63" s="90">
        <v>5.8888888888888893</v>
      </c>
    </row>
    <row r="64" spans="1:153" ht="15" customHeight="1" thickTop="1" thickBot="1" x14ac:dyDescent="0.3">
      <c r="A64" s="31" t="s">
        <v>14</v>
      </c>
      <c r="B64" s="32">
        <v>2</v>
      </c>
      <c r="C64" s="92">
        <v>13.083333333333334</v>
      </c>
      <c r="D64" s="88">
        <v>2.7811111111111111</v>
      </c>
      <c r="E64" s="89">
        <v>10.30222222222222</v>
      </c>
      <c r="F64" s="88">
        <v>1</v>
      </c>
      <c r="G64" s="90">
        <v>3.7777777777777777</v>
      </c>
      <c r="H64" s="91">
        <v>18.155555555555551</v>
      </c>
      <c r="I64" s="88">
        <v>5.97</v>
      </c>
      <c r="J64" s="88">
        <v>12.185555555555556</v>
      </c>
      <c r="K64" s="88">
        <v>2.2222222222222223</v>
      </c>
      <c r="L64" s="90">
        <v>6</v>
      </c>
      <c r="M64" s="91">
        <v>22.84888888888889</v>
      </c>
      <c r="N64" s="88">
        <v>11.013333333333334</v>
      </c>
      <c r="O64" s="88">
        <v>11.835555555555553</v>
      </c>
      <c r="P64" s="88">
        <v>1.1111111111111112</v>
      </c>
      <c r="Q64" s="90">
        <v>5</v>
      </c>
      <c r="R64" s="91">
        <v>14.709999999999999</v>
      </c>
      <c r="S64" s="88">
        <v>3.7566666666666668</v>
      </c>
      <c r="T64" s="88">
        <v>10.953333333333331</v>
      </c>
      <c r="U64" s="88">
        <v>1.1111111111111112</v>
      </c>
      <c r="V64" s="90">
        <v>3.7777777777777777</v>
      </c>
      <c r="W64" s="91">
        <v>28.402222222222221</v>
      </c>
      <c r="X64" s="88">
        <v>7.0255555555555551</v>
      </c>
      <c r="Y64" s="88">
        <v>21.376666666666665</v>
      </c>
      <c r="Z64" s="88">
        <v>1.1111111111111112</v>
      </c>
      <c r="AA64" s="90">
        <v>4.5555555555555554</v>
      </c>
    </row>
    <row r="65" spans="1:153" ht="15" customHeight="1" thickTop="1" thickBot="1" x14ac:dyDescent="0.3">
      <c r="A65" s="31" t="s">
        <v>37</v>
      </c>
      <c r="B65" s="32">
        <v>1</v>
      </c>
      <c r="C65" s="87">
        <v>17.100000000000001</v>
      </c>
      <c r="D65" s="88">
        <v>2.73</v>
      </c>
      <c r="E65" s="89">
        <v>14.310000000000002</v>
      </c>
      <c r="F65" s="88">
        <v>0</v>
      </c>
      <c r="G65" s="90">
        <v>3</v>
      </c>
      <c r="H65" s="91">
        <v>21.94</v>
      </c>
      <c r="I65" s="88">
        <v>5.94</v>
      </c>
      <c r="J65" s="88">
        <v>12.380000000000003</v>
      </c>
      <c r="K65" s="88">
        <v>2</v>
      </c>
      <c r="L65" s="90">
        <v>5</v>
      </c>
      <c r="M65" s="91">
        <v>21.69</v>
      </c>
      <c r="N65" s="88">
        <v>9.7899999999999991</v>
      </c>
      <c r="O65" s="88">
        <v>10.650000000000002</v>
      </c>
      <c r="P65" s="88">
        <v>0</v>
      </c>
      <c r="Q65" s="90">
        <v>3</v>
      </c>
      <c r="R65" s="91">
        <v>17.79</v>
      </c>
      <c r="S65" s="88">
        <v>3.7350000000000003</v>
      </c>
      <c r="T65" s="88">
        <v>12.52</v>
      </c>
      <c r="U65" s="88">
        <v>0</v>
      </c>
      <c r="V65" s="90">
        <v>3</v>
      </c>
      <c r="W65" s="91">
        <v>20.81</v>
      </c>
      <c r="X65" s="88">
        <v>7.05</v>
      </c>
      <c r="Y65" s="88">
        <v>11.649999999999999</v>
      </c>
      <c r="Z65" s="88">
        <v>0</v>
      </c>
      <c r="AA65" s="90">
        <v>4</v>
      </c>
    </row>
    <row r="66" spans="1:153" ht="15" customHeight="1" thickTop="1" thickBot="1" x14ac:dyDescent="0.3">
      <c r="A66" s="31" t="s">
        <v>37</v>
      </c>
      <c r="B66" s="32">
        <v>2</v>
      </c>
      <c r="C66" s="87">
        <v>10.44</v>
      </c>
      <c r="D66" s="88">
        <v>2.77</v>
      </c>
      <c r="E66" s="89">
        <v>7.67</v>
      </c>
      <c r="F66" s="88">
        <v>0</v>
      </c>
      <c r="G66" s="90">
        <v>3</v>
      </c>
      <c r="H66" s="91">
        <v>14.77</v>
      </c>
      <c r="I66" s="88">
        <v>5.95</v>
      </c>
      <c r="J66" s="88">
        <v>8.8099999999999987</v>
      </c>
      <c r="K66" s="88">
        <v>0</v>
      </c>
      <c r="L66" s="90">
        <v>4</v>
      </c>
      <c r="M66" s="91">
        <v>17.38</v>
      </c>
      <c r="N66" s="88">
        <v>11</v>
      </c>
      <c r="O66" s="88">
        <v>6.379999999999999</v>
      </c>
      <c r="P66" s="88">
        <v>0</v>
      </c>
      <c r="Q66" s="90">
        <v>0</v>
      </c>
      <c r="R66" s="91">
        <v>11.39</v>
      </c>
      <c r="S66" s="88">
        <v>0</v>
      </c>
      <c r="T66" s="88">
        <v>7.6100000000000012</v>
      </c>
      <c r="U66" s="88">
        <v>0</v>
      </c>
      <c r="V66" s="90">
        <v>0</v>
      </c>
      <c r="W66" s="91">
        <v>18.48</v>
      </c>
      <c r="X66" s="88">
        <v>7.01</v>
      </c>
      <c r="Y66" s="88">
        <v>11.45</v>
      </c>
      <c r="Z66" s="88">
        <v>0</v>
      </c>
      <c r="AA66" s="90">
        <v>3</v>
      </c>
    </row>
    <row r="67" spans="1:153" ht="15" customHeight="1" thickTop="1" thickBot="1" x14ac:dyDescent="0.3">
      <c r="A67" s="31" t="s">
        <v>13</v>
      </c>
      <c r="B67" s="32">
        <v>1</v>
      </c>
      <c r="C67" s="87">
        <v>20.71</v>
      </c>
      <c r="D67" s="88">
        <v>2.76</v>
      </c>
      <c r="E67" s="89">
        <v>17.950000000000003</v>
      </c>
      <c r="F67" s="88">
        <v>1</v>
      </c>
      <c r="G67" s="90">
        <v>5</v>
      </c>
      <c r="H67" s="91">
        <v>25.28</v>
      </c>
      <c r="I67" s="88">
        <v>10.29</v>
      </c>
      <c r="J67" s="88">
        <v>14.97</v>
      </c>
      <c r="K67" s="88">
        <v>3</v>
      </c>
      <c r="L67" s="90">
        <v>6</v>
      </c>
      <c r="M67" s="91">
        <v>26.27</v>
      </c>
      <c r="N67" s="88">
        <v>11.04</v>
      </c>
      <c r="O67" s="88">
        <v>15.219999999999999</v>
      </c>
      <c r="P67" s="88">
        <v>1</v>
      </c>
      <c r="Q67" s="90">
        <v>4</v>
      </c>
      <c r="R67" s="91">
        <v>18.510000000000002</v>
      </c>
      <c r="S67" s="88">
        <v>3.75</v>
      </c>
      <c r="T67" s="88">
        <v>14.760000000000002</v>
      </c>
      <c r="U67" s="88">
        <v>1</v>
      </c>
      <c r="V67" s="90">
        <v>4</v>
      </c>
      <c r="W67" s="91">
        <v>25.19</v>
      </c>
      <c r="X67" s="88">
        <v>9.16</v>
      </c>
      <c r="Y67" s="88">
        <v>16.03</v>
      </c>
      <c r="Z67" s="88">
        <v>1</v>
      </c>
      <c r="AA67" s="90">
        <v>5</v>
      </c>
    </row>
    <row r="68" spans="1:153" ht="15" customHeight="1" thickTop="1" thickBot="1" x14ac:dyDescent="0.3">
      <c r="A68" s="31" t="s">
        <v>13</v>
      </c>
      <c r="B68" s="32">
        <v>2</v>
      </c>
      <c r="C68" s="87">
        <v>11.07</v>
      </c>
      <c r="D68" s="88">
        <v>2.78</v>
      </c>
      <c r="E68" s="89">
        <v>8.32</v>
      </c>
      <c r="F68" s="88">
        <v>1</v>
      </c>
      <c r="G68" s="90">
        <v>4</v>
      </c>
      <c r="H68" s="91">
        <v>15.28</v>
      </c>
      <c r="I68" s="88">
        <v>5.96</v>
      </c>
      <c r="J68" s="88">
        <v>9.3099999999999987</v>
      </c>
      <c r="K68" s="88">
        <v>2</v>
      </c>
      <c r="L68" s="90">
        <v>5</v>
      </c>
      <c r="M68" s="91">
        <v>20.329999999999998</v>
      </c>
      <c r="N68" s="88">
        <v>11.01</v>
      </c>
      <c r="O68" s="88">
        <v>9.2799999999999976</v>
      </c>
      <c r="P68" s="88">
        <v>1</v>
      </c>
      <c r="Q68" s="90">
        <v>3</v>
      </c>
      <c r="R68" s="91">
        <v>13.8</v>
      </c>
      <c r="S68" s="88">
        <v>3.74</v>
      </c>
      <c r="T68" s="88">
        <v>10.06</v>
      </c>
      <c r="U68" s="88">
        <v>1</v>
      </c>
      <c r="V68" s="90">
        <v>3</v>
      </c>
      <c r="W68" s="91">
        <v>18.940000000000001</v>
      </c>
      <c r="X68" s="88">
        <v>7.02</v>
      </c>
      <c r="Y68" s="88">
        <v>11.930000000000001</v>
      </c>
      <c r="Z68" s="88">
        <v>1</v>
      </c>
      <c r="AA68" s="90">
        <v>4</v>
      </c>
    </row>
    <row r="69" spans="1:153" ht="15" customHeight="1" thickTop="1" thickBot="1" x14ac:dyDescent="0.3">
      <c r="A69" s="31" t="s">
        <v>39</v>
      </c>
      <c r="B69" s="32">
        <v>1</v>
      </c>
      <c r="C69" s="87">
        <v>23.25</v>
      </c>
      <c r="D69" s="88">
        <v>2.77</v>
      </c>
      <c r="E69" s="89">
        <v>20.490000000000002</v>
      </c>
      <c r="F69" s="88">
        <v>2</v>
      </c>
      <c r="G69" s="90">
        <v>6</v>
      </c>
      <c r="H69" s="91">
        <v>29.03</v>
      </c>
      <c r="I69" s="88">
        <v>14.59</v>
      </c>
      <c r="J69" s="88">
        <v>16</v>
      </c>
      <c r="K69" s="88">
        <v>4</v>
      </c>
      <c r="L69" s="90">
        <v>13</v>
      </c>
      <c r="M69" s="91">
        <v>28.76</v>
      </c>
      <c r="N69" s="88">
        <v>11.06</v>
      </c>
      <c r="O69" s="88">
        <v>17.690000000000001</v>
      </c>
      <c r="P69" s="88">
        <v>4</v>
      </c>
      <c r="Q69" s="90">
        <v>9</v>
      </c>
      <c r="R69" s="91">
        <v>24.81</v>
      </c>
      <c r="S69" s="88">
        <v>5.27</v>
      </c>
      <c r="T69" s="88">
        <v>15.49</v>
      </c>
      <c r="U69" s="88">
        <v>3</v>
      </c>
      <c r="V69" s="90">
        <v>6</v>
      </c>
      <c r="W69" s="91">
        <v>28.97</v>
      </c>
      <c r="X69" s="88">
        <v>11.25</v>
      </c>
      <c r="Y69" s="88">
        <v>17.72</v>
      </c>
      <c r="Z69" s="88">
        <v>2</v>
      </c>
      <c r="AA69" s="90">
        <v>8</v>
      </c>
    </row>
    <row r="70" spans="1:153" ht="15" customHeight="1" thickTop="1" thickBot="1" x14ac:dyDescent="0.3">
      <c r="A70" s="31" t="s">
        <v>39</v>
      </c>
      <c r="B70" s="32">
        <v>2</v>
      </c>
      <c r="C70" s="87">
        <v>14.42</v>
      </c>
      <c r="D70" s="88">
        <v>2.7949999999999999</v>
      </c>
      <c r="E70" s="89">
        <v>11.64</v>
      </c>
      <c r="F70" s="88">
        <v>0</v>
      </c>
      <c r="G70" s="90">
        <v>5</v>
      </c>
      <c r="H70" s="91">
        <v>19.89</v>
      </c>
      <c r="I70" s="88">
        <v>5.97</v>
      </c>
      <c r="J70" s="88">
        <v>13.920000000000002</v>
      </c>
      <c r="K70" s="88">
        <v>3</v>
      </c>
      <c r="L70" s="90">
        <v>6</v>
      </c>
      <c r="M70" s="91">
        <v>23.56</v>
      </c>
      <c r="N70" s="88">
        <v>11.03</v>
      </c>
      <c r="O70" s="88">
        <v>12.549999999999999</v>
      </c>
      <c r="P70" s="88">
        <v>2</v>
      </c>
      <c r="Q70" s="90">
        <v>5</v>
      </c>
      <c r="R70" s="91">
        <v>16.594999999999999</v>
      </c>
      <c r="S70" s="88">
        <v>3.76</v>
      </c>
      <c r="T70" s="88">
        <v>12.84</v>
      </c>
      <c r="U70" s="88">
        <v>2</v>
      </c>
      <c r="V70" s="90">
        <v>4.5</v>
      </c>
      <c r="W70" s="91">
        <v>20.07</v>
      </c>
      <c r="X70" s="88">
        <v>7.03</v>
      </c>
      <c r="Y70" s="88">
        <v>13.02</v>
      </c>
      <c r="Z70" s="88">
        <v>2</v>
      </c>
      <c r="AA70" s="90">
        <v>6</v>
      </c>
    </row>
    <row r="71" spans="1:153" ht="15" customHeight="1" thickTop="1" thickBot="1" x14ac:dyDescent="0.3">
      <c r="A71" s="31" t="s">
        <v>44</v>
      </c>
      <c r="B71" s="32">
        <v>1</v>
      </c>
      <c r="C71" s="94">
        <v>16.12</v>
      </c>
      <c r="D71" s="95">
        <v>2.73</v>
      </c>
      <c r="E71" s="96">
        <v>13.39</v>
      </c>
      <c r="F71" s="95">
        <v>1</v>
      </c>
      <c r="G71" s="97">
        <v>3</v>
      </c>
      <c r="H71" s="98">
        <v>20.3</v>
      </c>
      <c r="I71" s="95">
        <v>5.94</v>
      </c>
      <c r="J71" s="95">
        <v>10.010000000000002</v>
      </c>
      <c r="K71" s="95">
        <v>2</v>
      </c>
      <c r="L71" s="97">
        <v>4</v>
      </c>
      <c r="M71" s="98">
        <v>18.829999999999998</v>
      </c>
      <c r="N71" s="95">
        <v>9.7899999999999991</v>
      </c>
      <c r="O71" s="95">
        <v>7.8099999999999987</v>
      </c>
      <c r="P71" s="95">
        <v>1</v>
      </c>
      <c r="Q71" s="97">
        <v>3</v>
      </c>
      <c r="R71" s="98">
        <v>11.49</v>
      </c>
      <c r="S71" s="95">
        <v>3.73</v>
      </c>
      <c r="T71" s="95">
        <v>7.74</v>
      </c>
      <c r="U71" s="95">
        <v>1</v>
      </c>
      <c r="V71" s="97">
        <v>3</v>
      </c>
      <c r="W71" s="98">
        <v>15.06</v>
      </c>
      <c r="X71" s="95">
        <v>7.03</v>
      </c>
      <c r="Y71" s="95">
        <v>8.0100000000000016</v>
      </c>
      <c r="Z71" s="95">
        <v>1</v>
      </c>
      <c r="AA71" s="97">
        <v>3</v>
      </c>
    </row>
    <row r="72" spans="1:153" ht="15" customHeight="1" thickTop="1" thickBot="1" x14ac:dyDescent="0.3">
      <c r="A72" s="31" t="s">
        <v>44</v>
      </c>
      <c r="B72" s="32">
        <v>2</v>
      </c>
      <c r="C72" s="94">
        <v>9.32</v>
      </c>
      <c r="D72" s="95">
        <v>2.75</v>
      </c>
      <c r="E72" s="96">
        <v>6.53</v>
      </c>
      <c r="F72" s="95">
        <v>1</v>
      </c>
      <c r="G72" s="97">
        <v>3</v>
      </c>
      <c r="H72" s="98">
        <v>12.8</v>
      </c>
      <c r="I72" s="95">
        <v>5.95</v>
      </c>
      <c r="J72" s="95">
        <v>6.82</v>
      </c>
      <c r="K72" s="95">
        <v>2</v>
      </c>
      <c r="L72" s="97">
        <v>4</v>
      </c>
      <c r="M72" s="98">
        <v>17.38</v>
      </c>
      <c r="N72" s="95">
        <v>10.98</v>
      </c>
      <c r="O72" s="95">
        <v>6.379999999999999</v>
      </c>
      <c r="P72" s="95">
        <v>1</v>
      </c>
      <c r="Q72" s="97">
        <v>3</v>
      </c>
      <c r="R72" s="98">
        <v>10.57</v>
      </c>
      <c r="S72" s="95">
        <v>3.74</v>
      </c>
      <c r="T72" s="95">
        <v>6.8100000000000005</v>
      </c>
      <c r="U72" s="95">
        <v>1</v>
      </c>
      <c r="V72" s="97">
        <v>3</v>
      </c>
      <c r="W72" s="98">
        <v>18.260000000000002</v>
      </c>
      <c r="X72" s="95">
        <v>7</v>
      </c>
      <c r="Y72" s="95">
        <v>11.21</v>
      </c>
      <c r="Z72" s="95">
        <v>1</v>
      </c>
      <c r="AA72" s="97">
        <v>3</v>
      </c>
    </row>
    <row r="73" spans="1:153" ht="15" customHeight="1" thickTop="1" thickBot="1" x14ac:dyDescent="0.3">
      <c r="A73" s="31" t="s">
        <v>45</v>
      </c>
      <c r="B73" s="32">
        <v>1</v>
      </c>
      <c r="C73" s="94">
        <v>27.35</v>
      </c>
      <c r="D73" s="95">
        <v>2.79</v>
      </c>
      <c r="E73" s="96">
        <v>24.580000000000002</v>
      </c>
      <c r="F73" s="95">
        <v>3</v>
      </c>
      <c r="G73" s="97">
        <v>15</v>
      </c>
      <c r="H73" s="98">
        <v>31.91</v>
      </c>
      <c r="I73" s="95">
        <v>16.649999999999999</v>
      </c>
      <c r="J73" s="95">
        <v>25.17</v>
      </c>
      <c r="K73" s="95">
        <v>4</v>
      </c>
      <c r="L73" s="97">
        <v>15</v>
      </c>
      <c r="M73" s="98">
        <v>42.36</v>
      </c>
      <c r="N73" s="95">
        <v>11.09</v>
      </c>
      <c r="O73" s="95">
        <v>32.57</v>
      </c>
      <c r="P73" s="95">
        <v>6</v>
      </c>
      <c r="Q73" s="97">
        <v>13</v>
      </c>
      <c r="R73" s="98">
        <v>32.01</v>
      </c>
      <c r="S73" s="95">
        <v>9.67</v>
      </c>
      <c r="T73" s="95">
        <v>28.279999999999998</v>
      </c>
      <c r="U73" s="95">
        <v>3</v>
      </c>
      <c r="V73" s="97">
        <v>8</v>
      </c>
      <c r="W73" s="98">
        <v>29.52</v>
      </c>
      <c r="X73" s="95">
        <v>11.31</v>
      </c>
      <c r="Y73" s="95">
        <v>22.49</v>
      </c>
      <c r="Z73" s="95">
        <v>4</v>
      </c>
      <c r="AA73" s="97">
        <v>10</v>
      </c>
    </row>
    <row r="74" spans="1:153" ht="15" customHeight="1" thickTop="1" thickBot="1" x14ac:dyDescent="0.3">
      <c r="A74" s="31" t="s">
        <v>45</v>
      </c>
      <c r="B74" s="32">
        <v>2</v>
      </c>
      <c r="C74" s="94">
        <v>17.899999999999999</v>
      </c>
      <c r="D74" s="95">
        <v>2.8</v>
      </c>
      <c r="E74" s="96">
        <v>15.11</v>
      </c>
      <c r="F74" s="95">
        <v>1</v>
      </c>
      <c r="G74" s="97">
        <v>5</v>
      </c>
      <c r="H74" s="98">
        <v>23.8</v>
      </c>
      <c r="I74" s="95">
        <v>6</v>
      </c>
      <c r="J74" s="95">
        <v>17.84</v>
      </c>
      <c r="K74" s="95">
        <v>3</v>
      </c>
      <c r="L74" s="97">
        <v>14</v>
      </c>
      <c r="M74" s="98">
        <v>37.03</v>
      </c>
      <c r="N74" s="95">
        <v>11.05</v>
      </c>
      <c r="O74" s="95">
        <v>26</v>
      </c>
      <c r="P74" s="95">
        <v>2</v>
      </c>
      <c r="Q74" s="97">
        <v>12</v>
      </c>
      <c r="R74" s="98">
        <v>22.33</v>
      </c>
      <c r="S74" s="95">
        <v>3.79</v>
      </c>
      <c r="T74" s="95">
        <v>18.579999999999998</v>
      </c>
      <c r="U74" s="95">
        <v>2</v>
      </c>
      <c r="V74" s="97">
        <v>6</v>
      </c>
      <c r="W74" s="98">
        <v>95.82</v>
      </c>
      <c r="X74" s="95">
        <v>7.05</v>
      </c>
      <c r="Y74" s="95">
        <v>88.809999999999988</v>
      </c>
      <c r="Z74" s="95">
        <v>2</v>
      </c>
      <c r="AA74" s="97">
        <v>8</v>
      </c>
    </row>
    <row r="75" spans="1:153" ht="15" customHeight="1" thickTop="1" thickBot="1" x14ac:dyDescent="0.3">
      <c r="A75" s="31" t="s">
        <v>23</v>
      </c>
      <c r="B75" s="32">
        <v>1</v>
      </c>
      <c r="C75" s="53">
        <v>11.23</v>
      </c>
      <c r="D75" s="52">
        <v>6.0000000000000053E-2</v>
      </c>
      <c r="E75" s="75">
        <v>11.190000000000001</v>
      </c>
      <c r="F75" s="52">
        <v>2</v>
      </c>
      <c r="G75" s="78">
        <v>12</v>
      </c>
      <c r="H75" s="56">
        <v>11.61</v>
      </c>
      <c r="I75" s="52">
        <v>10.709999999999997</v>
      </c>
      <c r="J75" s="52">
        <v>15.16</v>
      </c>
      <c r="K75" s="52">
        <v>2</v>
      </c>
      <c r="L75" s="78">
        <v>11</v>
      </c>
      <c r="M75" s="56">
        <v>23.53</v>
      </c>
      <c r="N75" s="52">
        <v>1.3000000000000007</v>
      </c>
      <c r="O75" s="52">
        <v>24.76</v>
      </c>
      <c r="P75" s="52">
        <v>5</v>
      </c>
      <c r="Q75" s="78">
        <v>10</v>
      </c>
      <c r="R75" s="56">
        <v>20.519999999999996</v>
      </c>
      <c r="S75" s="52">
        <v>5.9399999999999995</v>
      </c>
      <c r="T75" s="52">
        <v>20.54</v>
      </c>
      <c r="U75" s="52">
        <v>2</v>
      </c>
      <c r="V75" s="78">
        <v>5</v>
      </c>
      <c r="W75" s="56">
        <v>14.459999999999999</v>
      </c>
      <c r="X75" s="52">
        <v>4.28</v>
      </c>
      <c r="Y75" s="52">
        <v>14.479999999999997</v>
      </c>
      <c r="Z75" s="52">
        <v>3</v>
      </c>
      <c r="AA75" s="78">
        <v>7</v>
      </c>
    </row>
    <row r="76" spans="1:153" ht="15" customHeight="1" thickTop="1" thickBot="1" x14ac:dyDescent="0.3">
      <c r="A76" s="31" t="s">
        <v>23</v>
      </c>
      <c r="B76" s="32">
        <v>2</v>
      </c>
      <c r="C76" s="53">
        <v>8.5799999999999983</v>
      </c>
      <c r="D76" s="52">
        <v>4.9999999999999822E-2</v>
      </c>
      <c r="E76" s="75">
        <v>8.5799999999999983</v>
      </c>
      <c r="F76" s="52">
        <v>0</v>
      </c>
      <c r="G76" s="78">
        <v>2</v>
      </c>
      <c r="H76" s="56">
        <v>11</v>
      </c>
      <c r="I76" s="52">
        <v>4.9999999999999822E-2</v>
      </c>
      <c r="J76" s="52">
        <v>11.02</v>
      </c>
      <c r="K76" s="52">
        <v>1</v>
      </c>
      <c r="L76" s="78">
        <v>10</v>
      </c>
      <c r="M76" s="56">
        <v>19.650000000000002</v>
      </c>
      <c r="N76" s="52">
        <v>7.0000000000000284E-2</v>
      </c>
      <c r="O76" s="52">
        <v>19.62</v>
      </c>
      <c r="P76" s="52">
        <v>1</v>
      </c>
      <c r="Q76" s="78">
        <v>9</v>
      </c>
      <c r="R76" s="56">
        <v>11.759999999999998</v>
      </c>
      <c r="S76" s="52">
        <v>4.9999999999999822E-2</v>
      </c>
      <c r="T76" s="52">
        <v>11.769999999999998</v>
      </c>
      <c r="U76" s="52">
        <v>1</v>
      </c>
      <c r="V76" s="78">
        <v>3</v>
      </c>
      <c r="W76" s="56">
        <v>77.559999999999988</v>
      </c>
      <c r="X76" s="52">
        <v>4.9999999999999822E-2</v>
      </c>
      <c r="Y76" s="52">
        <v>77.599999999999994</v>
      </c>
      <c r="Z76" s="52">
        <v>1</v>
      </c>
      <c r="AA76" s="78">
        <v>5</v>
      </c>
    </row>
    <row r="77" spans="1:153" ht="15" customHeight="1" thickTop="1" thickBot="1" x14ac:dyDescent="0.3">
      <c r="A77" s="31" t="s">
        <v>38</v>
      </c>
      <c r="B77" s="32">
        <v>1</v>
      </c>
      <c r="C77" s="53">
        <v>3.3868102915010292</v>
      </c>
      <c r="D77" s="52">
        <v>1.4907119849998634E-2</v>
      </c>
      <c r="E77" s="75">
        <v>3.3844364193382646</v>
      </c>
      <c r="F77" s="52">
        <v>0.68493488921877521</v>
      </c>
      <c r="G77" s="78">
        <v>3.5276684147527879</v>
      </c>
      <c r="H77" s="56">
        <v>4.1147182373571463</v>
      </c>
      <c r="I77" s="52">
        <v>3.9658816527917997</v>
      </c>
      <c r="J77" s="52">
        <v>4.1511473945594881</v>
      </c>
      <c r="K77" s="52">
        <v>0.87488976377909011</v>
      </c>
      <c r="L77" s="78">
        <v>3.6243347622889091</v>
      </c>
      <c r="M77" s="56">
        <v>7.819417110668625</v>
      </c>
      <c r="N77" s="52">
        <v>0.5284101474712779</v>
      </c>
      <c r="O77" s="52">
        <v>8.2928791408318769</v>
      </c>
      <c r="P77" s="52">
        <v>1.5634719199411429</v>
      </c>
      <c r="Q77" s="78">
        <v>3.496029493900505</v>
      </c>
      <c r="R77" s="56">
        <v>5.6277489304953319</v>
      </c>
      <c r="S77" s="52">
        <v>2.2772731148253107</v>
      </c>
      <c r="T77" s="52">
        <v>5.5381665638448334</v>
      </c>
      <c r="U77" s="52">
        <v>0.94280904158206336</v>
      </c>
      <c r="V77" s="78">
        <v>1.8856180831641267</v>
      </c>
      <c r="W77" s="56">
        <v>4.582234076932612</v>
      </c>
      <c r="X77" s="52">
        <v>1.8430376160895328</v>
      </c>
      <c r="Y77" s="52">
        <v>3.9374388492214099</v>
      </c>
      <c r="Z77" s="52">
        <v>0.94280904158206325</v>
      </c>
      <c r="AA77" s="78">
        <v>2.1829869671542781</v>
      </c>
      <c r="AB77" s="1"/>
      <c r="BA77" s="1"/>
      <c r="BC77" s="1"/>
      <c r="BZ77" s="1"/>
      <c r="CY77" s="1"/>
      <c r="DA77" s="1"/>
      <c r="DX77" s="1"/>
      <c r="EW77" s="1" t="s">
        <v>0</v>
      </c>
    </row>
    <row r="78" spans="1:153" ht="15" customHeight="1" thickTop="1" thickBot="1" x14ac:dyDescent="0.3">
      <c r="A78" s="31" t="s">
        <v>38</v>
      </c>
      <c r="B78" s="32">
        <v>2</v>
      </c>
      <c r="C78" s="53">
        <v>3.0233792719773382</v>
      </c>
      <c r="D78" s="52">
        <v>1.5234788000891165E-2</v>
      </c>
      <c r="E78" s="75">
        <v>3.0162477712024836</v>
      </c>
      <c r="F78" s="52">
        <v>0</v>
      </c>
      <c r="G78" s="78">
        <v>0.62853936105470898</v>
      </c>
      <c r="H78" s="56">
        <v>4.1045587423175958</v>
      </c>
      <c r="I78" s="52">
        <v>1.4142135623730998E-2</v>
      </c>
      <c r="J78" s="52">
        <v>4.0987291014305383</v>
      </c>
      <c r="K78" s="52">
        <v>0.41573970964154899</v>
      </c>
      <c r="L78" s="78">
        <v>2.9059326290271157</v>
      </c>
      <c r="M78" s="56">
        <v>5.8263738378828247</v>
      </c>
      <c r="N78" s="52">
        <v>1.9436506316150959E-2</v>
      </c>
      <c r="O78" s="52">
        <v>5.8219987234456241</v>
      </c>
      <c r="P78" s="52">
        <v>0.31426968052735449</v>
      </c>
      <c r="Q78" s="78">
        <v>2.7888667551135851</v>
      </c>
      <c r="R78" s="56">
        <v>3.3016763419006807</v>
      </c>
      <c r="S78" s="52">
        <v>1.8257418583505425E-2</v>
      </c>
      <c r="T78" s="52">
        <v>3.3075905967268002</v>
      </c>
      <c r="U78" s="52">
        <v>0.31426968052735449</v>
      </c>
      <c r="V78" s="78">
        <v>1.0304020550550783</v>
      </c>
      <c r="W78" s="56">
        <v>23.901544244754366</v>
      </c>
      <c r="X78" s="52">
        <v>1.6405358955814915E-2</v>
      </c>
      <c r="Y78" s="52">
        <v>23.907484183828288</v>
      </c>
      <c r="Z78" s="52">
        <v>0.31426968052735449</v>
      </c>
      <c r="AA78" s="78">
        <v>1.640535895581489</v>
      </c>
      <c r="AB78" s="1"/>
      <c r="BA78" s="1"/>
      <c r="BC78" s="1"/>
      <c r="BZ78" s="1"/>
      <c r="CY78" s="1"/>
      <c r="DA78" s="1"/>
      <c r="DX78" s="1"/>
      <c r="EW78" s="1"/>
    </row>
    <row r="79" spans="1:153" ht="15" customHeight="1" thickTop="1" thickBot="1" x14ac:dyDescent="0.3">
      <c r="A79" s="31" t="s">
        <v>24</v>
      </c>
      <c r="B79" s="32">
        <v>1</v>
      </c>
      <c r="C79" s="53">
        <v>1.8403288541728158</v>
      </c>
      <c r="D79" s="52">
        <v>0.12209471671615703</v>
      </c>
      <c r="E79" s="75">
        <v>1.8396837824306287</v>
      </c>
      <c r="F79" s="52">
        <v>0.82760793206612948</v>
      </c>
      <c r="G79" s="78">
        <v>1.8782088315075052</v>
      </c>
      <c r="H79" s="56">
        <v>2.0284768269214086</v>
      </c>
      <c r="I79" s="52">
        <v>1.9914521467491504</v>
      </c>
      <c r="J79" s="52">
        <v>2.0374364762022612</v>
      </c>
      <c r="K79" s="52">
        <v>0.93535542109889447</v>
      </c>
      <c r="L79" s="78">
        <v>1.9037685684685808</v>
      </c>
      <c r="M79" s="56">
        <v>2.7963220684800643</v>
      </c>
      <c r="N79" s="52">
        <v>0.72691825363742102</v>
      </c>
      <c r="O79" s="52">
        <v>2.8797359498453807</v>
      </c>
      <c r="P79" s="52">
        <v>1.2503887075390367</v>
      </c>
      <c r="Q79" s="78">
        <v>1.869767229871276</v>
      </c>
      <c r="R79" s="56">
        <v>2.3722876997732234</v>
      </c>
      <c r="S79" s="52">
        <v>1.5090636549944838</v>
      </c>
      <c r="T79" s="52">
        <v>2.3533309507684703</v>
      </c>
      <c r="U79" s="52">
        <v>0.97098354341464688</v>
      </c>
      <c r="V79" s="78">
        <v>1.3731780959380786</v>
      </c>
      <c r="W79" s="56">
        <v>2.1406153500646985</v>
      </c>
      <c r="X79" s="52">
        <v>1.3575852150379115</v>
      </c>
      <c r="Y79" s="52">
        <v>1.9842980746907481</v>
      </c>
      <c r="Z79" s="52">
        <v>0.97098354341464677</v>
      </c>
      <c r="AA79" s="78">
        <v>1.4774934744878836</v>
      </c>
      <c r="AB79" s="1"/>
    </row>
    <row r="80" spans="1:153" ht="15" customHeight="1" thickTop="1" thickBot="1" x14ac:dyDescent="0.3">
      <c r="A80" s="31" t="s">
        <v>24</v>
      </c>
      <c r="B80" s="32">
        <v>2</v>
      </c>
      <c r="C80" s="53">
        <v>1.738786724120396</v>
      </c>
      <c r="D80" s="52">
        <v>0.1234292834010275</v>
      </c>
      <c r="E80" s="75">
        <v>1.7367348016327893</v>
      </c>
      <c r="F80" s="52">
        <v>0</v>
      </c>
      <c r="G80" s="78">
        <v>0.79280474333514739</v>
      </c>
      <c r="H80" s="56">
        <v>2.0259710615696354</v>
      </c>
      <c r="I80" s="52">
        <v>0.11892071150027231</v>
      </c>
      <c r="J80" s="52">
        <v>2.024531822775463</v>
      </c>
      <c r="K80" s="52">
        <v>0.64477880675588972</v>
      </c>
      <c r="L80" s="78">
        <v>1.7046796265067274</v>
      </c>
      <c r="M80" s="56">
        <v>2.4137882752807513</v>
      </c>
      <c r="N80" s="52">
        <v>0.13941487121591783</v>
      </c>
      <c r="O80" s="52">
        <v>2.4128818295651415</v>
      </c>
      <c r="P80" s="52">
        <v>0.56059761016914311</v>
      </c>
      <c r="Q80" s="78">
        <v>1.6699900464115303</v>
      </c>
      <c r="R80" s="56">
        <v>1.8170515518005208</v>
      </c>
      <c r="S80" s="52">
        <v>0.13512001548070302</v>
      </c>
      <c r="T80" s="52">
        <v>1.8186782554170489</v>
      </c>
      <c r="U80" s="52">
        <v>0.56059761016914311</v>
      </c>
      <c r="V80" s="78">
        <v>1.0150872154918897</v>
      </c>
      <c r="W80" s="56">
        <v>4.888920560282644</v>
      </c>
      <c r="X80" s="52">
        <v>0.12808340624692535</v>
      </c>
      <c r="Y80" s="52">
        <v>4.8895280123779115</v>
      </c>
      <c r="Z80" s="52">
        <v>0.56059761016914311</v>
      </c>
      <c r="AA80" s="78">
        <v>1.2808340624692525</v>
      </c>
      <c r="AB80" s="2"/>
    </row>
    <row r="81" spans="1:27" ht="16.5" thickTop="1" thickBot="1" x14ac:dyDescent="0.3">
      <c r="A81" s="31" t="s">
        <v>42</v>
      </c>
      <c r="B81" s="32">
        <v>1</v>
      </c>
      <c r="C81" s="53">
        <v>8.4760041387622653</v>
      </c>
      <c r="D81" s="52">
        <v>4.4183854058922929</v>
      </c>
      <c r="E81" s="75">
        <v>9.7086630948021906</v>
      </c>
      <c r="F81" s="52">
        <v>57.295933758424347</v>
      </c>
      <c r="G81" s="78">
        <v>29.655928918539558</v>
      </c>
      <c r="H81" s="56">
        <v>7.6293582858843561</v>
      </c>
      <c r="I81" s="52">
        <v>18.944159518806</v>
      </c>
      <c r="J81" s="52">
        <v>12.674127927716581</v>
      </c>
      <c r="K81" s="52">
        <v>30.06499567817875</v>
      </c>
      <c r="L81" s="78">
        <v>25.196936935613572</v>
      </c>
      <c r="M81" s="56">
        <v>9.6034872228957404</v>
      </c>
      <c r="N81" s="52">
        <v>6.7446023533368971</v>
      </c>
      <c r="O81" s="52">
        <v>15.701940838851586</v>
      </c>
      <c r="P81" s="52">
        <v>75.0233224523422</v>
      </c>
      <c r="Q81" s="78">
        <v>31.162787164521266</v>
      </c>
      <c r="R81" s="56">
        <v>11.010566395729468</v>
      </c>
      <c r="S81" s="52">
        <v>27.130589083001109</v>
      </c>
      <c r="T81" s="52">
        <v>14.723655583535789</v>
      </c>
      <c r="U81" s="52">
        <v>48.549177170732342</v>
      </c>
      <c r="V81" s="78">
        <v>24.232554634201385</v>
      </c>
      <c r="W81" s="56">
        <v>8.4862735224131303</v>
      </c>
      <c r="X81" s="52">
        <v>14.459487497445211</v>
      </c>
      <c r="Y81" s="52">
        <v>12.530650205035597</v>
      </c>
      <c r="Z81" s="52">
        <v>58.259012604878805</v>
      </c>
      <c r="AA81" s="78">
        <v>25.089511830926323</v>
      </c>
    </row>
    <row r="82" spans="1:27" ht="16.5" thickTop="1" thickBot="1" x14ac:dyDescent="0.3">
      <c r="A82" s="31" t="s">
        <v>42</v>
      </c>
      <c r="B82" s="32">
        <v>2</v>
      </c>
      <c r="C82" s="53">
        <v>13.290089611111307</v>
      </c>
      <c r="D82" s="52">
        <v>4.4381284482990315</v>
      </c>
      <c r="E82" s="75">
        <v>16.857865848463231</v>
      </c>
      <c r="F82" s="52">
        <v>0</v>
      </c>
      <c r="G82" s="78">
        <v>20.986007911812724</v>
      </c>
      <c r="H82" s="56">
        <v>11.15895933545087</v>
      </c>
      <c r="I82" s="52">
        <v>1.9919717169224842</v>
      </c>
      <c r="J82" s="52">
        <v>16.614193858830276</v>
      </c>
      <c r="K82" s="52">
        <v>29.015046304015037</v>
      </c>
      <c r="L82" s="78">
        <v>28.411327108445459</v>
      </c>
      <c r="M82" s="56">
        <v>10.564138532156566</v>
      </c>
      <c r="N82" s="52">
        <v>1.2658735279895688</v>
      </c>
      <c r="O82" s="52">
        <v>20.38672217995332</v>
      </c>
      <c r="P82" s="52">
        <v>50.453784915222876</v>
      </c>
      <c r="Q82" s="78">
        <v>33.399800928230604</v>
      </c>
      <c r="R82" s="56">
        <v>12.352491854524276</v>
      </c>
      <c r="S82" s="52">
        <v>3.5968060908794057</v>
      </c>
      <c r="T82" s="52">
        <v>16.603879386035143</v>
      </c>
      <c r="U82" s="52">
        <v>50.453784915222876</v>
      </c>
      <c r="V82" s="78">
        <v>26.869955704197082</v>
      </c>
      <c r="W82" s="56">
        <v>17.213162132283781</v>
      </c>
      <c r="X82" s="52">
        <v>1.823107158346241</v>
      </c>
      <c r="Y82" s="52">
        <v>22.873201367743235</v>
      </c>
      <c r="Z82" s="52">
        <v>50.453784915222876</v>
      </c>
      <c r="AA82" s="78">
        <v>28.115869663959202</v>
      </c>
    </row>
    <row r="83" spans="1:27" ht="16.5" thickTop="1" thickBot="1" x14ac:dyDescent="0.3">
      <c r="A83" s="31" t="s">
        <v>40</v>
      </c>
      <c r="B83" s="32">
        <v>1</v>
      </c>
      <c r="C83" s="82">
        <v>-6.8919068427271197</v>
      </c>
      <c r="D83" s="83">
        <v>8.1964285714283629E-4</v>
      </c>
      <c r="E83" s="84">
        <v>-7.1069729043106014</v>
      </c>
      <c r="F83" s="83">
        <v>0.8712406015037597</v>
      </c>
      <c r="G83" s="85">
        <v>56.542729591836739</v>
      </c>
      <c r="H83" s="86">
        <v>-36.140641617147907</v>
      </c>
      <c r="I83" s="83">
        <v>-20.646165546410842</v>
      </c>
      <c r="J83" s="83">
        <v>33.441348407447698</v>
      </c>
      <c r="K83" s="83">
        <v>-1.9544930875576034</v>
      </c>
      <c r="L83" s="85">
        <v>9.9032626208378165</v>
      </c>
      <c r="M83" s="86">
        <v>-19.12285494462698</v>
      </c>
      <c r="N83" s="83">
        <v>0.25548320028208904</v>
      </c>
      <c r="O83" s="83">
        <v>-13.777285720726905</v>
      </c>
      <c r="P83" s="83">
        <v>24.647727272727284</v>
      </c>
      <c r="Q83" s="85">
        <v>1.6509740259740262</v>
      </c>
      <c r="R83" s="86">
        <v>12.593965698326341</v>
      </c>
      <c r="S83" s="83">
        <v>0.69757887066967039</v>
      </c>
      <c r="T83" s="83">
        <v>73.170229845341026</v>
      </c>
      <c r="U83" s="83">
        <v>-2.7321428571428568</v>
      </c>
      <c r="V83" s="85">
        <v>-8.3169642857142847</v>
      </c>
      <c r="W83" s="86">
        <v>32.838145874372337</v>
      </c>
      <c r="X83" s="83">
        <v>-8.6590868021106289</v>
      </c>
      <c r="Y83" s="83">
        <v>15.410111552189855</v>
      </c>
      <c r="Z83" s="83">
        <v>4.0982142857142847</v>
      </c>
      <c r="AA83" s="85">
        <v>-3.8663027387120787</v>
      </c>
    </row>
    <row r="84" spans="1:27" ht="16.5" thickTop="1" thickBot="1" x14ac:dyDescent="0.3">
      <c r="A84" s="31" t="s">
        <v>40</v>
      </c>
      <c r="B84" s="32">
        <v>2</v>
      </c>
      <c r="C84" s="82">
        <v>-13.514389600615138</v>
      </c>
      <c r="D84" s="83">
        <v>8.1724924012161685E-5</v>
      </c>
      <c r="E84" s="84">
        <v>-13.440358991232978</v>
      </c>
      <c r="F84" s="83">
        <v>-1</v>
      </c>
      <c r="G84" s="85">
        <v>-2.0089285714286677E-2</v>
      </c>
      <c r="H84" s="86">
        <v>-41.069897447031302</v>
      </c>
      <c r="I84" s="83">
        <v>2.089285714285757E-4</v>
      </c>
      <c r="J84" s="83">
        <v>-40.85687981907936</v>
      </c>
      <c r="K84" s="83">
        <v>0.1607142857142855</v>
      </c>
      <c r="L84" s="85">
        <v>82.209586466165405</v>
      </c>
      <c r="M84" s="86">
        <v>143.79092607782442</v>
      </c>
      <c r="N84" s="83">
        <v>1.2573529411768981E-4</v>
      </c>
      <c r="O84" s="83">
        <v>142.98828015056179</v>
      </c>
      <c r="P84" s="83">
        <v>1.1249999999999991</v>
      </c>
      <c r="Q84" s="85">
        <v>40.477040816326536</v>
      </c>
      <c r="R84" s="86">
        <v>30.902987078525324</v>
      </c>
      <c r="S84" s="83">
        <v>-4.232142857142771E-4</v>
      </c>
      <c r="T84" s="83">
        <v>30.762468561599558</v>
      </c>
      <c r="U84" s="83">
        <v>1.1249999999999991</v>
      </c>
      <c r="V84" s="85">
        <v>1.0352990033222609</v>
      </c>
      <c r="W84" s="86">
        <v>6404.7266393380396</v>
      </c>
      <c r="X84" s="83">
        <v>-3.0329292267366971E-4</v>
      </c>
      <c r="Y84" s="83">
        <v>6407.2498517378008</v>
      </c>
      <c r="Z84" s="83">
        <v>1.1249999999999991</v>
      </c>
      <c r="AA84" s="85">
        <v>1.0807667103538672</v>
      </c>
    </row>
    <row r="85" spans="1:27" ht="16.5" thickTop="1" thickBot="1" x14ac:dyDescent="0.3">
      <c r="A85" s="31" t="s">
        <v>41</v>
      </c>
      <c r="B85" s="32">
        <v>1</v>
      </c>
      <c r="C85" s="82">
        <v>-1.457571503576597</v>
      </c>
      <c r="D85" s="83">
        <v>-1.5305444845488891E-3</v>
      </c>
      <c r="E85" s="84">
        <v>-1.4358078223386188</v>
      </c>
      <c r="F85" s="83">
        <v>1.015064239987123</v>
      </c>
      <c r="G85" s="85">
        <v>14.084769480408802</v>
      </c>
      <c r="H85" s="86">
        <v>-2.9022635521466689</v>
      </c>
      <c r="I85" s="83">
        <v>3.8093768042479157</v>
      </c>
      <c r="J85" s="83">
        <v>9.3872348960603702</v>
      </c>
      <c r="K85" s="83">
        <v>-0.25700722111991525</v>
      </c>
      <c r="L85" s="85">
        <v>11.283241135306987</v>
      </c>
      <c r="M85" s="86">
        <v>22.063970597747904</v>
      </c>
      <c r="N85" s="83">
        <v>-0.73925573501152075</v>
      </c>
      <c r="O85" s="83">
        <v>26.660747641877531</v>
      </c>
      <c r="P85" s="83">
        <v>6.5219138268229333</v>
      </c>
      <c r="Q85" s="85">
        <v>9.1460756770261842</v>
      </c>
      <c r="R85" s="86">
        <v>1.5038896829685062</v>
      </c>
      <c r="S85" s="83">
        <v>5.1895188675501851</v>
      </c>
      <c r="T85" s="83">
        <v>17.035024619198079</v>
      </c>
      <c r="U85" s="83">
        <v>0</v>
      </c>
      <c r="V85" s="85">
        <v>0.33103400527078508</v>
      </c>
      <c r="W85" s="86">
        <v>-14.456002933032087</v>
      </c>
      <c r="X85" s="83">
        <v>-0.79338549433057193</v>
      </c>
      <c r="Y85" s="83">
        <v>-4.8723235098028406</v>
      </c>
      <c r="Z85" s="83">
        <v>1.9896493144076908</v>
      </c>
      <c r="AA85" s="85">
        <v>2.4569754086760449</v>
      </c>
    </row>
    <row r="86" spans="1:27" ht="15.75" thickTop="1" x14ac:dyDescent="0.25">
      <c r="A86" s="31" t="s">
        <v>41</v>
      </c>
      <c r="B86" s="32">
        <v>2</v>
      </c>
      <c r="C86" s="82">
        <v>3.6600220105697803</v>
      </c>
      <c r="D86" s="83">
        <v>-1.5363006550979229E-3</v>
      </c>
      <c r="E86" s="84">
        <v>3.6281776927377245</v>
      </c>
      <c r="F86" s="83">
        <v>-1</v>
      </c>
      <c r="G86" s="85">
        <v>0.15130536954275728</v>
      </c>
      <c r="H86" s="86">
        <v>3.3917824816949573</v>
      </c>
      <c r="I86" s="83">
        <v>1.7201031484862404E-3</v>
      </c>
      <c r="J86" s="83">
        <v>3.3571205023933155</v>
      </c>
      <c r="K86" s="83">
        <v>0.51812582685741126</v>
      </c>
      <c r="L86" s="85">
        <v>15.962145788427184</v>
      </c>
      <c r="M86" s="86">
        <v>27.297693069096624</v>
      </c>
      <c r="N86" s="83">
        <v>9.8849829906245187E-4</v>
      </c>
      <c r="O86" s="83">
        <v>27.244725308703885</v>
      </c>
      <c r="P86" s="83">
        <v>0.63067231144028568</v>
      </c>
      <c r="Q86" s="85">
        <v>10.973368269252092</v>
      </c>
      <c r="R86" s="86">
        <v>9.1896233073552605</v>
      </c>
      <c r="S86" s="83">
        <v>2.1715716773684115E-3</v>
      </c>
      <c r="T86" s="83">
        <v>9.1692453331618822</v>
      </c>
      <c r="U86" s="83">
        <v>0.63067231144028568</v>
      </c>
      <c r="V86" s="85">
        <v>1.6086265840187093</v>
      </c>
      <c r="W86" s="86">
        <v>413.94093348538973</v>
      </c>
      <c r="X86" s="83">
        <v>3.8903446130718577E-4</v>
      </c>
      <c r="Y86" s="83">
        <v>414.06747192641274</v>
      </c>
      <c r="Z86" s="83">
        <v>0.63067231144028568</v>
      </c>
      <c r="AA86" s="85">
        <v>2.6835823762973918</v>
      </c>
    </row>
    <row r="91" spans="1:27" x14ac:dyDescent="0.25">
      <c r="A91" s="5"/>
      <c r="B91" s="33" t="s">
        <v>17</v>
      </c>
      <c r="C91" s="49"/>
      <c r="D91" s="50"/>
      <c r="E91" s="50" t="s">
        <v>3</v>
      </c>
      <c r="F91" s="57"/>
      <c r="G91" s="58"/>
      <c r="H91" s="54"/>
      <c r="I91" s="54"/>
      <c r="J91" s="54" t="s">
        <v>4</v>
      </c>
      <c r="K91" s="62"/>
      <c r="L91" s="63"/>
      <c r="M91" s="50"/>
      <c r="N91" s="50"/>
      <c r="O91" s="50" t="s">
        <v>5</v>
      </c>
      <c r="P91" s="57"/>
      <c r="Q91" s="58"/>
      <c r="R91" s="54"/>
      <c r="S91" s="54"/>
      <c r="T91" s="54" t="s">
        <v>6</v>
      </c>
      <c r="U91" s="62"/>
      <c r="V91" s="63"/>
      <c r="W91" s="50"/>
      <c r="X91" s="50"/>
      <c r="Y91" s="50" t="s">
        <v>35</v>
      </c>
      <c r="Z91" s="57"/>
      <c r="AA91" s="66"/>
    </row>
    <row r="92" spans="1:27" ht="15.75" thickBot="1" x14ac:dyDescent="0.3">
      <c r="A92" s="12"/>
      <c r="B92" s="18"/>
      <c r="C92" s="51" t="s">
        <v>7</v>
      </c>
      <c r="D92" s="51" t="s">
        <v>8</v>
      </c>
      <c r="E92" s="51" t="s">
        <v>36</v>
      </c>
      <c r="F92" s="59" t="s">
        <v>10</v>
      </c>
      <c r="G92" s="60" t="s">
        <v>9</v>
      </c>
      <c r="H92" s="55" t="s">
        <v>7</v>
      </c>
      <c r="I92" s="55" t="s">
        <v>8</v>
      </c>
      <c r="J92" s="55" t="s">
        <v>36</v>
      </c>
      <c r="K92" s="64" t="s">
        <v>10</v>
      </c>
      <c r="L92" s="65" t="s">
        <v>9</v>
      </c>
      <c r="M92" s="51" t="s">
        <v>7</v>
      </c>
      <c r="N92" s="51" t="s">
        <v>8</v>
      </c>
      <c r="O92" s="51" t="s">
        <v>36</v>
      </c>
      <c r="P92" s="59" t="s">
        <v>10</v>
      </c>
      <c r="Q92" s="60" t="s">
        <v>9</v>
      </c>
      <c r="R92" s="55" t="s">
        <v>7</v>
      </c>
      <c r="S92" s="55" t="s">
        <v>8</v>
      </c>
      <c r="T92" s="55" t="s">
        <v>36</v>
      </c>
      <c r="U92" s="64" t="s">
        <v>10</v>
      </c>
      <c r="V92" s="65" t="s">
        <v>9</v>
      </c>
      <c r="W92" s="51" t="s">
        <v>7</v>
      </c>
      <c r="X92" s="51" t="s">
        <v>8</v>
      </c>
      <c r="Y92" s="51" t="s">
        <v>36</v>
      </c>
      <c r="Z92" s="59" t="s">
        <v>10</v>
      </c>
      <c r="AA92" s="60" t="s">
        <v>9</v>
      </c>
    </row>
    <row r="93" spans="1:27" ht="16.5" thickTop="1" thickBot="1" x14ac:dyDescent="0.3">
      <c r="A93" s="31" t="s">
        <v>14</v>
      </c>
      <c r="B93" s="32">
        <v>1</v>
      </c>
      <c r="C93" s="92">
        <v>20.917499999999997</v>
      </c>
      <c r="D93" s="88">
        <v>3.3137500000000002</v>
      </c>
      <c r="E93" s="89">
        <v>17.603750000000002</v>
      </c>
      <c r="F93" s="88">
        <v>3.5</v>
      </c>
      <c r="G93" s="90">
        <v>9.875</v>
      </c>
      <c r="H93" s="91">
        <v>25.287499999999998</v>
      </c>
      <c r="I93" s="88">
        <v>10.48</v>
      </c>
      <c r="J93" s="88">
        <v>14.807499999999999</v>
      </c>
      <c r="K93" s="88">
        <v>5.25</v>
      </c>
      <c r="L93" s="90">
        <v>12.125</v>
      </c>
      <c r="M93" s="91">
        <v>31.017499999999998</v>
      </c>
      <c r="N93" s="88">
        <v>11.74375</v>
      </c>
      <c r="O93" s="88">
        <v>19.27375</v>
      </c>
      <c r="P93" s="88">
        <v>4.25</v>
      </c>
      <c r="Q93" s="90">
        <v>11.5</v>
      </c>
      <c r="R93" s="91">
        <v>19.691249999999997</v>
      </c>
      <c r="S93" s="88">
        <v>5.9375</v>
      </c>
      <c r="T93" s="88">
        <v>13.75375</v>
      </c>
      <c r="U93" s="88">
        <v>2.875</v>
      </c>
      <c r="V93" s="90">
        <v>8.375</v>
      </c>
      <c r="W93" s="91">
        <v>29.958749999999998</v>
      </c>
      <c r="X93" s="88">
        <v>12.640000000000002</v>
      </c>
      <c r="Y93" s="88">
        <v>17.318749999999998</v>
      </c>
      <c r="Z93" s="88">
        <v>6.5</v>
      </c>
      <c r="AA93" s="90">
        <v>11.25</v>
      </c>
    </row>
    <row r="94" spans="1:27" ht="16.5" thickTop="1" thickBot="1" x14ac:dyDescent="0.3">
      <c r="A94" s="31" t="s">
        <v>14</v>
      </c>
      <c r="B94" s="32">
        <v>2</v>
      </c>
      <c r="C94" s="92">
        <v>12.0025</v>
      </c>
      <c r="D94" s="88">
        <v>2.7749999999999995</v>
      </c>
      <c r="E94" s="89">
        <v>9.2275000000000009</v>
      </c>
      <c r="F94" s="88">
        <v>1.5</v>
      </c>
      <c r="G94" s="90">
        <v>6.625</v>
      </c>
      <c r="H94" s="91">
        <v>16.610000000000003</v>
      </c>
      <c r="I94" s="88">
        <v>7.3024999999999993</v>
      </c>
      <c r="J94" s="88">
        <v>9.3074999999999992</v>
      </c>
      <c r="K94" s="88">
        <v>5</v>
      </c>
      <c r="L94" s="90">
        <v>9.125</v>
      </c>
      <c r="M94" s="91">
        <v>20.239999999999998</v>
      </c>
      <c r="N94" s="88">
        <v>11.061249999999999</v>
      </c>
      <c r="O94" s="88">
        <v>9.1787500000000009</v>
      </c>
      <c r="P94" s="88">
        <v>1.5</v>
      </c>
      <c r="Q94" s="90">
        <v>6</v>
      </c>
      <c r="R94" s="91">
        <v>16.3325</v>
      </c>
      <c r="S94" s="88">
        <v>3.7662499999999999</v>
      </c>
      <c r="T94" s="88">
        <v>12.56625</v>
      </c>
      <c r="U94" s="88">
        <v>1.5</v>
      </c>
      <c r="V94" s="90">
        <v>6.125</v>
      </c>
      <c r="W94" s="91">
        <v>22.053750000000001</v>
      </c>
      <c r="X94" s="88">
        <v>7.0312499999999991</v>
      </c>
      <c r="Y94" s="88">
        <v>15.022500000000003</v>
      </c>
      <c r="Z94" s="88">
        <v>3.125</v>
      </c>
      <c r="AA94" s="90">
        <v>7.375</v>
      </c>
    </row>
    <row r="95" spans="1:27" ht="16.5" thickTop="1" thickBot="1" x14ac:dyDescent="0.3">
      <c r="A95" s="31" t="s">
        <v>37</v>
      </c>
      <c r="B95" s="32">
        <v>1</v>
      </c>
      <c r="C95" s="87">
        <v>16.88</v>
      </c>
      <c r="D95" s="88">
        <v>2.76</v>
      </c>
      <c r="E95" s="89">
        <v>13.91</v>
      </c>
      <c r="F95" s="88">
        <v>1</v>
      </c>
      <c r="G95" s="90">
        <v>6</v>
      </c>
      <c r="H95" s="91">
        <v>19.829999999999998</v>
      </c>
      <c r="I95" s="88">
        <v>8.1000000000000014</v>
      </c>
      <c r="J95" s="88">
        <v>7.0200000000000005</v>
      </c>
      <c r="K95" s="88">
        <v>3</v>
      </c>
      <c r="L95" s="90">
        <v>8</v>
      </c>
      <c r="M95" s="91">
        <v>29.89</v>
      </c>
      <c r="N95" s="88">
        <v>10.41</v>
      </c>
      <c r="O95" s="88">
        <v>17.52</v>
      </c>
      <c r="P95" s="88">
        <v>2</v>
      </c>
      <c r="Q95" s="90">
        <v>6</v>
      </c>
      <c r="R95" s="91">
        <v>16.465</v>
      </c>
      <c r="S95" s="88">
        <v>3.74</v>
      </c>
      <c r="T95" s="88">
        <v>11.399999999999999</v>
      </c>
      <c r="U95" s="88">
        <v>1</v>
      </c>
      <c r="V95" s="90">
        <v>4.5</v>
      </c>
      <c r="W95" s="91">
        <v>25.954999999999998</v>
      </c>
      <c r="X95" s="88">
        <v>9.17</v>
      </c>
      <c r="Y95" s="88">
        <v>14.74</v>
      </c>
      <c r="Z95" s="88">
        <v>5</v>
      </c>
      <c r="AA95" s="90">
        <v>10</v>
      </c>
    </row>
    <row r="96" spans="1:27" ht="16.5" thickTop="1" thickBot="1" x14ac:dyDescent="0.3">
      <c r="A96" s="31" t="s">
        <v>37</v>
      </c>
      <c r="B96" s="32">
        <v>2</v>
      </c>
      <c r="C96" s="87">
        <v>8.49</v>
      </c>
      <c r="D96" s="88">
        <v>2.76</v>
      </c>
      <c r="E96" s="89">
        <v>5.7100000000000009</v>
      </c>
      <c r="F96" s="88">
        <v>0</v>
      </c>
      <c r="G96" s="90">
        <v>5</v>
      </c>
      <c r="H96" s="91">
        <v>12.934999999999999</v>
      </c>
      <c r="I96" s="88">
        <v>5.94</v>
      </c>
      <c r="J96" s="88">
        <v>5.89</v>
      </c>
      <c r="K96" s="88">
        <v>0</v>
      </c>
      <c r="L96" s="90">
        <v>6</v>
      </c>
      <c r="M96" s="91">
        <v>17.544999999999998</v>
      </c>
      <c r="N96" s="88">
        <v>11.04</v>
      </c>
      <c r="O96" s="88">
        <v>6.4949999999999992</v>
      </c>
      <c r="P96" s="88">
        <v>0</v>
      </c>
      <c r="Q96" s="90">
        <v>4</v>
      </c>
      <c r="R96" s="91">
        <v>11.365</v>
      </c>
      <c r="S96" s="88">
        <v>3.75</v>
      </c>
      <c r="T96" s="88">
        <v>7.61</v>
      </c>
      <c r="U96" s="88">
        <v>0</v>
      </c>
      <c r="V96" s="90">
        <v>4.5</v>
      </c>
      <c r="W96" s="91">
        <v>15.835000000000001</v>
      </c>
      <c r="X96" s="88">
        <v>7.02</v>
      </c>
      <c r="Y96" s="88">
        <v>8.8000000000000007</v>
      </c>
      <c r="Z96" s="88">
        <v>0</v>
      </c>
      <c r="AA96" s="90">
        <v>5</v>
      </c>
    </row>
    <row r="97" spans="1:27" ht="16.5" thickTop="1" thickBot="1" x14ac:dyDescent="0.3">
      <c r="A97" s="31" t="s">
        <v>13</v>
      </c>
      <c r="B97" s="32">
        <v>1</v>
      </c>
      <c r="C97" s="87">
        <v>21.995000000000001</v>
      </c>
      <c r="D97" s="88">
        <v>2.77</v>
      </c>
      <c r="E97" s="89">
        <v>18.16</v>
      </c>
      <c r="F97" s="88">
        <v>4</v>
      </c>
      <c r="G97" s="90">
        <v>9.5</v>
      </c>
      <c r="H97" s="91">
        <v>24.32</v>
      </c>
      <c r="I97" s="88">
        <v>11.335000000000001</v>
      </c>
      <c r="J97" s="88">
        <v>14.645</v>
      </c>
      <c r="K97" s="88">
        <v>5</v>
      </c>
      <c r="L97" s="90">
        <v>11.5</v>
      </c>
      <c r="M97" s="91">
        <v>31.14</v>
      </c>
      <c r="N97" s="88">
        <v>11.04</v>
      </c>
      <c r="O97" s="88">
        <v>20.100000000000001</v>
      </c>
      <c r="P97" s="88">
        <v>4</v>
      </c>
      <c r="Q97" s="90">
        <v>11.5</v>
      </c>
      <c r="R97" s="91">
        <v>18.884999999999998</v>
      </c>
      <c r="S97" s="88">
        <v>3.7850000000000001</v>
      </c>
      <c r="T97" s="88">
        <v>13.815</v>
      </c>
      <c r="U97" s="88">
        <v>3</v>
      </c>
      <c r="V97" s="90">
        <v>9</v>
      </c>
      <c r="W97" s="91">
        <v>28.954999999999998</v>
      </c>
      <c r="X97" s="88">
        <v>11.295</v>
      </c>
      <c r="Y97" s="88">
        <v>17.060000000000002</v>
      </c>
      <c r="Z97" s="88">
        <v>6</v>
      </c>
      <c r="AA97" s="90">
        <v>10.5</v>
      </c>
    </row>
    <row r="98" spans="1:27" ht="16.5" thickTop="1" thickBot="1" x14ac:dyDescent="0.3">
      <c r="A98" s="31" t="s">
        <v>13</v>
      </c>
      <c r="B98" s="32">
        <v>2</v>
      </c>
      <c r="C98" s="87">
        <v>12.57</v>
      </c>
      <c r="D98" s="88">
        <v>2.7749999999999999</v>
      </c>
      <c r="E98" s="89">
        <v>9.8049999999999997</v>
      </c>
      <c r="F98" s="88">
        <v>1</v>
      </c>
      <c r="G98" s="90">
        <v>7</v>
      </c>
      <c r="H98" s="91">
        <v>15.634999999999998</v>
      </c>
      <c r="I98" s="88">
        <v>5.98</v>
      </c>
      <c r="J98" s="88">
        <v>8.3099999999999987</v>
      </c>
      <c r="K98" s="88">
        <v>3</v>
      </c>
      <c r="L98" s="90">
        <v>8</v>
      </c>
      <c r="M98" s="91">
        <v>20.035</v>
      </c>
      <c r="N98" s="88">
        <v>11.06</v>
      </c>
      <c r="O98" s="88">
        <v>8.9400000000000013</v>
      </c>
      <c r="P98" s="88">
        <v>1</v>
      </c>
      <c r="Q98" s="90">
        <v>5</v>
      </c>
      <c r="R98" s="91">
        <v>14.465</v>
      </c>
      <c r="S98" s="88">
        <v>3.76</v>
      </c>
      <c r="T98" s="88">
        <v>10.715</v>
      </c>
      <c r="U98" s="88">
        <v>1</v>
      </c>
      <c r="V98" s="90">
        <v>5.5</v>
      </c>
      <c r="W98" s="91">
        <v>19.655000000000001</v>
      </c>
      <c r="X98" s="88">
        <v>7.03</v>
      </c>
      <c r="Y98" s="88">
        <v>12.625000000000002</v>
      </c>
      <c r="Z98" s="88">
        <v>2</v>
      </c>
      <c r="AA98" s="90">
        <v>7</v>
      </c>
    </row>
    <row r="99" spans="1:27" ht="16.5" thickTop="1" thickBot="1" x14ac:dyDescent="0.3">
      <c r="A99" s="31" t="s">
        <v>39</v>
      </c>
      <c r="B99" s="32">
        <v>1</v>
      </c>
      <c r="C99" s="87">
        <v>24.704999999999998</v>
      </c>
      <c r="D99" s="88">
        <v>2.78</v>
      </c>
      <c r="E99" s="89">
        <v>21.02</v>
      </c>
      <c r="F99" s="88">
        <v>5</v>
      </c>
      <c r="G99" s="90">
        <v>14.5</v>
      </c>
      <c r="H99" s="91">
        <v>31.47</v>
      </c>
      <c r="I99" s="88">
        <v>12.25</v>
      </c>
      <c r="J99" s="88">
        <v>21.509999999999998</v>
      </c>
      <c r="K99" s="88">
        <v>6</v>
      </c>
      <c r="L99" s="90">
        <v>16</v>
      </c>
      <c r="M99" s="91">
        <v>33.28</v>
      </c>
      <c r="N99" s="88">
        <v>11.07</v>
      </c>
      <c r="O99" s="88">
        <v>22.345000000000002</v>
      </c>
      <c r="P99" s="88">
        <v>6</v>
      </c>
      <c r="Q99" s="90">
        <v>17</v>
      </c>
      <c r="R99" s="91">
        <v>23.42</v>
      </c>
      <c r="S99" s="88">
        <v>9.5549999999999997</v>
      </c>
      <c r="T99" s="88">
        <v>15.445</v>
      </c>
      <c r="U99" s="88">
        <v>4.5</v>
      </c>
      <c r="V99" s="90">
        <v>11.5</v>
      </c>
      <c r="W99" s="91">
        <v>30.67</v>
      </c>
      <c r="X99" s="88">
        <v>16.27</v>
      </c>
      <c r="Y99" s="88">
        <v>19.32</v>
      </c>
      <c r="Z99" s="88">
        <v>9</v>
      </c>
      <c r="AA99" s="90">
        <v>11</v>
      </c>
    </row>
    <row r="100" spans="1:27" ht="16.5" thickTop="1" thickBot="1" x14ac:dyDescent="0.3">
      <c r="A100" s="31" t="s">
        <v>39</v>
      </c>
      <c r="B100" s="32">
        <v>2</v>
      </c>
      <c r="C100" s="87">
        <v>13.344999999999999</v>
      </c>
      <c r="D100" s="88">
        <v>2.78</v>
      </c>
      <c r="E100" s="89">
        <v>10.585000000000001</v>
      </c>
      <c r="F100" s="88">
        <v>3</v>
      </c>
      <c r="G100" s="90">
        <v>8.5</v>
      </c>
      <c r="H100" s="91">
        <v>20.755000000000003</v>
      </c>
      <c r="I100" s="88">
        <v>6.0250000000000004</v>
      </c>
      <c r="J100" s="88">
        <v>11.93</v>
      </c>
      <c r="K100" s="88">
        <v>9</v>
      </c>
      <c r="L100" s="90">
        <v>12</v>
      </c>
      <c r="M100" s="91">
        <v>21.655000000000001</v>
      </c>
      <c r="N100" s="88">
        <v>11.1</v>
      </c>
      <c r="O100" s="88">
        <v>10.605</v>
      </c>
      <c r="P100" s="88">
        <v>5</v>
      </c>
      <c r="Q100" s="90">
        <v>7</v>
      </c>
      <c r="R100" s="91">
        <v>21.844999999999999</v>
      </c>
      <c r="S100" s="88">
        <v>3.8</v>
      </c>
      <c r="T100" s="88">
        <v>18.07</v>
      </c>
      <c r="U100" s="88">
        <v>3</v>
      </c>
      <c r="V100" s="90">
        <v>7</v>
      </c>
      <c r="W100" s="91">
        <v>24.020000000000003</v>
      </c>
      <c r="X100" s="88">
        <v>7.04</v>
      </c>
      <c r="Y100" s="88">
        <v>16.995000000000001</v>
      </c>
      <c r="Z100" s="88">
        <v>5</v>
      </c>
      <c r="AA100" s="90">
        <v>9</v>
      </c>
    </row>
    <row r="101" spans="1:27" ht="16.5" thickTop="1" thickBot="1" x14ac:dyDescent="0.3">
      <c r="A101" s="31" t="s">
        <v>44</v>
      </c>
      <c r="B101" s="32">
        <v>1</v>
      </c>
      <c r="C101" s="94">
        <v>13.49</v>
      </c>
      <c r="D101" s="95">
        <v>2.76</v>
      </c>
      <c r="E101" s="96">
        <v>10.73</v>
      </c>
      <c r="F101" s="95">
        <v>1</v>
      </c>
      <c r="G101" s="97">
        <v>4</v>
      </c>
      <c r="H101" s="98">
        <v>17.399999999999999</v>
      </c>
      <c r="I101" s="95">
        <v>5.96</v>
      </c>
      <c r="J101" s="95">
        <v>5.1999999999999993</v>
      </c>
      <c r="K101" s="95">
        <v>3</v>
      </c>
      <c r="L101" s="97">
        <v>8</v>
      </c>
      <c r="M101" s="98">
        <v>27.17</v>
      </c>
      <c r="N101" s="95">
        <v>9.83</v>
      </c>
      <c r="O101" s="95">
        <v>10.810000000000002</v>
      </c>
      <c r="P101" s="95">
        <v>1</v>
      </c>
      <c r="Q101" s="97">
        <v>4</v>
      </c>
      <c r="R101" s="98">
        <v>15.12</v>
      </c>
      <c r="S101" s="95">
        <v>3.72</v>
      </c>
      <c r="T101" s="95">
        <v>8.7899999999999991</v>
      </c>
      <c r="U101" s="95">
        <v>1</v>
      </c>
      <c r="V101" s="97">
        <v>4</v>
      </c>
      <c r="W101" s="98">
        <v>23.28</v>
      </c>
      <c r="X101" s="95">
        <v>7.04</v>
      </c>
      <c r="Y101" s="95">
        <v>11.69</v>
      </c>
      <c r="Z101" s="95">
        <v>5</v>
      </c>
      <c r="AA101" s="97">
        <v>10</v>
      </c>
    </row>
    <row r="102" spans="1:27" ht="16.5" thickTop="1" thickBot="1" x14ac:dyDescent="0.3">
      <c r="A102" s="31" t="s">
        <v>44</v>
      </c>
      <c r="B102" s="32">
        <v>2</v>
      </c>
      <c r="C102" s="94">
        <v>7.98</v>
      </c>
      <c r="D102" s="95">
        <v>2.76</v>
      </c>
      <c r="E102" s="96">
        <v>5.2000000000000011</v>
      </c>
      <c r="F102" s="95">
        <v>1</v>
      </c>
      <c r="G102" s="97">
        <v>4</v>
      </c>
      <c r="H102" s="98">
        <v>11.83</v>
      </c>
      <c r="I102" s="95">
        <v>5.94</v>
      </c>
      <c r="J102" s="95">
        <v>5.8099999999999987</v>
      </c>
      <c r="K102" s="95">
        <v>3</v>
      </c>
      <c r="L102" s="97">
        <v>6</v>
      </c>
      <c r="M102" s="98">
        <v>15.87</v>
      </c>
      <c r="N102" s="95">
        <v>10.99</v>
      </c>
      <c r="O102" s="95">
        <v>4.83</v>
      </c>
      <c r="P102" s="95">
        <v>1</v>
      </c>
      <c r="Q102" s="97">
        <v>4</v>
      </c>
      <c r="R102" s="98">
        <v>10.220000000000001</v>
      </c>
      <c r="S102" s="95">
        <v>3.75</v>
      </c>
      <c r="T102" s="95">
        <v>6.4600000000000009</v>
      </c>
      <c r="U102" s="95">
        <v>1</v>
      </c>
      <c r="V102" s="97">
        <v>4</v>
      </c>
      <c r="W102" s="98">
        <v>12.98</v>
      </c>
      <c r="X102" s="95">
        <v>7.02</v>
      </c>
      <c r="Y102" s="95">
        <v>5.95</v>
      </c>
      <c r="Z102" s="95">
        <v>2</v>
      </c>
      <c r="AA102" s="97">
        <v>5</v>
      </c>
    </row>
    <row r="103" spans="1:27" ht="16.5" thickTop="1" thickBot="1" x14ac:dyDescent="0.3">
      <c r="A103" s="31" t="s">
        <v>45</v>
      </c>
      <c r="B103" s="32">
        <v>1</v>
      </c>
      <c r="C103" s="94">
        <v>26.69</v>
      </c>
      <c r="D103" s="95">
        <v>7.13</v>
      </c>
      <c r="E103" s="96">
        <v>23.92</v>
      </c>
      <c r="F103" s="95">
        <v>7</v>
      </c>
      <c r="G103" s="97">
        <v>15</v>
      </c>
      <c r="H103" s="98">
        <v>33.659999999999997</v>
      </c>
      <c r="I103" s="95">
        <v>14.51</v>
      </c>
      <c r="J103" s="95">
        <v>26.91</v>
      </c>
      <c r="K103" s="95">
        <v>7</v>
      </c>
      <c r="L103" s="97">
        <v>18</v>
      </c>
      <c r="M103" s="98">
        <v>33.28</v>
      </c>
      <c r="N103" s="95">
        <v>19.079999999999998</v>
      </c>
      <c r="O103" s="95">
        <v>23.450000000000003</v>
      </c>
      <c r="P103" s="95">
        <v>9</v>
      </c>
      <c r="Q103" s="97">
        <v>19</v>
      </c>
      <c r="R103" s="98">
        <v>24.87</v>
      </c>
      <c r="S103" s="95">
        <v>9.6199999999999992</v>
      </c>
      <c r="T103" s="95">
        <v>19.920000000000002</v>
      </c>
      <c r="U103" s="95">
        <v>5</v>
      </c>
      <c r="V103" s="97">
        <v>13</v>
      </c>
      <c r="W103" s="98">
        <v>45.23</v>
      </c>
      <c r="X103" s="95">
        <v>20.61</v>
      </c>
      <c r="Y103" s="95">
        <v>24.619999999999997</v>
      </c>
      <c r="Z103" s="95">
        <v>11</v>
      </c>
      <c r="AA103" s="97">
        <v>17</v>
      </c>
    </row>
    <row r="104" spans="1:27" ht="16.5" thickTop="1" thickBot="1" x14ac:dyDescent="0.3">
      <c r="A104" s="31" t="s">
        <v>45</v>
      </c>
      <c r="B104" s="32">
        <v>2</v>
      </c>
      <c r="C104" s="94">
        <v>19.23</v>
      </c>
      <c r="D104" s="95">
        <v>2.81</v>
      </c>
      <c r="E104" s="96">
        <v>16.420000000000002</v>
      </c>
      <c r="F104" s="95">
        <v>3</v>
      </c>
      <c r="G104" s="97">
        <v>9</v>
      </c>
      <c r="H104" s="98">
        <v>22.4</v>
      </c>
      <c r="I104" s="95">
        <v>16.59</v>
      </c>
      <c r="J104" s="95">
        <v>16.39</v>
      </c>
      <c r="K104" s="95">
        <v>9</v>
      </c>
      <c r="L104" s="97">
        <v>15</v>
      </c>
      <c r="M104" s="98">
        <v>27.58</v>
      </c>
      <c r="N104" s="95">
        <v>11.11</v>
      </c>
      <c r="O104" s="95">
        <v>16.519999999999996</v>
      </c>
      <c r="P104" s="95">
        <v>5</v>
      </c>
      <c r="Q104" s="97">
        <v>13</v>
      </c>
      <c r="R104" s="98">
        <v>25.09</v>
      </c>
      <c r="S104" s="95">
        <v>3.81</v>
      </c>
      <c r="T104" s="95">
        <v>21.28</v>
      </c>
      <c r="U104" s="95">
        <v>3</v>
      </c>
      <c r="V104" s="97">
        <v>11</v>
      </c>
      <c r="W104" s="98">
        <v>44.43</v>
      </c>
      <c r="X104" s="95">
        <v>7.04</v>
      </c>
      <c r="Y104" s="95">
        <v>37.39</v>
      </c>
      <c r="Z104" s="95">
        <v>6</v>
      </c>
      <c r="AA104" s="97">
        <v>12</v>
      </c>
    </row>
    <row r="105" spans="1:27" ht="16.5" thickTop="1" thickBot="1" x14ac:dyDescent="0.3">
      <c r="A105" s="31" t="s">
        <v>23</v>
      </c>
      <c r="B105" s="32">
        <v>1</v>
      </c>
      <c r="C105" s="53">
        <v>13.200000000000001</v>
      </c>
      <c r="D105" s="52">
        <v>4.37</v>
      </c>
      <c r="E105" s="75">
        <v>13.190000000000001</v>
      </c>
      <c r="F105" s="52">
        <v>6</v>
      </c>
      <c r="G105" s="78">
        <v>11</v>
      </c>
      <c r="H105" s="56">
        <v>16.259999999999998</v>
      </c>
      <c r="I105" s="52">
        <v>8.5500000000000007</v>
      </c>
      <c r="J105" s="52">
        <v>21.71</v>
      </c>
      <c r="K105" s="52">
        <v>4</v>
      </c>
      <c r="L105" s="78">
        <v>10</v>
      </c>
      <c r="M105" s="56">
        <v>6.1099999999999994</v>
      </c>
      <c r="N105" s="52">
        <v>9.2499999999999982</v>
      </c>
      <c r="O105" s="52">
        <v>12.64</v>
      </c>
      <c r="P105" s="52">
        <v>8</v>
      </c>
      <c r="Q105" s="78">
        <v>15</v>
      </c>
      <c r="R105" s="56">
        <v>9.7500000000000018</v>
      </c>
      <c r="S105" s="52">
        <v>5.8999999999999986</v>
      </c>
      <c r="T105" s="52">
        <v>11.130000000000003</v>
      </c>
      <c r="U105" s="52">
        <v>4</v>
      </c>
      <c r="V105" s="78">
        <v>9</v>
      </c>
      <c r="W105" s="56">
        <v>21.949999999999996</v>
      </c>
      <c r="X105" s="52">
        <v>13.57</v>
      </c>
      <c r="Y105" s="52">
        <v>12.929999999999998</v>
      </c>
      <c r="Z105" s="52">
        <v>6</v>
      </c>
      <c r="AA105" s="78">
        <v>7</v>
      </c>
    </row>
    <row r="106" spans="1:27" ht="16.5" thickTop="1" thickBot="1" x14ac:dyDescent="0.3">
      <c r="A106" s="31" t="s">
        <v>23</v>
      </c>
      <c r="B106" s="32">
        <v>2</v>
      </c>
      <c r="C106" s="53">
        <v>11.25</v>
      </c>
      <c r="D106" s="52">
        <v>5.0000000000000266E-2</v>
      </c>
      <c r="E106" s="75">
        <v>11.22</v>
      </c>
      <c r="F106" s="52">
        <v>2</v>
      </c>
      <c r="G106" s="78">
        <v>5</v>
      </c>
      <c r="H106" s="56">
        <v>10.569999999999999</v>
      </c>
      <c r="I106" s="52">
        <v>10.649999999999999</v>
      </c>
      <c r="J106" s="52">
        <v>10.580000000000002</v>
      </c>
      <c r="K106" s="52">
        <v>6</v>
      </c>
      <c r="L106" s="78">
        <v>9</v>
      </c>
      <c r="M106" s="56">
        <v>11.709999999999999</v>
      </c>
      <c r="N106" s="52">
        <v>0.11999999999999922</v>
      </c>
      <c r="O106" s="52">
        <v>11.689999999999996</v>
      </c>
      <c r="P106" s="52">
        <v>4</v>
      </c>
      <c r="Q106" s="78">
        <v>9</v>
      </c>
      <c r="R106" s="56">
        <v>14.87</v>
      </c>
      <c r="S106" s="52">
        <v>6.0000000000000053E-2</v>
      </c>
      <c r="T106" s="52">
        <v>14.82</v>
      </c>
      <c r="U106" s="52">
        <v>2</v>
      </c>
      <c r="V106" s="78">
        <v>7</v>
      </c>
      <c r="W106" s="56">
        <v>31.45</v>
      </c>
      <c r="X106" s="52">
        <v>2.0000000000000462E-2</v>
      </c>
      <c r="Y106" s="52">
        <v>31.44</v>
      </c>
      <c r="Z106" s="52">
        <v>4</v>
      </c>
      <c r="AA106" s="78">
        <v>7</v>
      </c>
    </row>
    <row r="107" spans="1:27" ht="16.5" thickTop="1" thickBot="1" x14ac:dyDescent="0.3">
      <c r="A107" s="31" t="s">
        <v>38</v>
      </c>
      <c r="B107" s="32">
        <v>1</v>
      </c>
      <c r="C107" s="53">
        <v>4.6887011794312503</v>
      </c>
      <c r="D107" s="52">
        <v>1.4424279661390373</v>
      </c>
      <c r="E107" s="75">
        <v>4.5206496698483507</v>
      </c>
      <c r="F107" s="52">
        <v>2.179449471770337</v>
      </c>
      <c r="G107" s="78">
        <v>4.2260353760942415</v>
      </c>
      <c r="H107" s="56">
        <v>5.99919942575674</v>
      </c>
      <c r="I107" s="52">
        <v>2.8770253735412203</v>
      </c>
      <c r="J107" s="52">
        <v>7.9682004712481973</v>
      </c>
      <c r="K107" s="52">
        <v>1.0897247358851685</v>
      </c>
      <c r="L107" s="78">
        <v>3.8870779513665532</v>
      </c>
      <c r="M107" s="56">
        <v>1.9119149431917726</v>
      </c>
      <c r="N107" s="52">
        <v>2.819849009698923</v>
      </c>
      <c r="O107" s="52">
        <v>3.9031459667171045</v>
      </c>
      <c r="P107" s="52">
        <v>2.6339134382131846</v>
      </c>
      <c r="Q107" s="78">
        <v>5.5226805085936306</v>
      </c>
      <c r="R107" s="56">
        <v>3.5708837754119083</v>
      </c>
      <c r="S107" s="52">
        <v>2.8190634526381273</v>
      </c>
      <c r="T107" s="52">
        <v>3.1552968857937929</v>
      </c>
      <c r="U107" s="52">
        <v>1.6909686573085854</v>
      </c>
      <c r="V107" s="78">
        <v>3.5333235062756425</v>
      </c>
      <c r="W107" s="56">
        <v>6.3253506572758464</v>
      </c>
      <c r="X107" s="52">
        <v>4.4491600330848966</v>
      </c>
      <c r="Y107" s="52">
        <v>3.6955866838027216</v>
      </c>
      <c r="Z107" s="52">
        <v>1.8027756377319946</v>
      </c>
      <c r="AA107" s="78">
        <v>2.2220486043288972</v>
      </c>
    </row>
    <row r="108" spans="1:27" ht="16.5" thickTop="1" thickBot="1" x14ac:dyDescent="0.3">
      <c r="A108" s="31" t="s">
        <v>38</v>
      </c>
      <c r="B108" s="32">
        <v>2</v>
      </c>
      <c r="C108" s="53">
        <v>3.5054555695372893</v>
      </c>
      <c r="D108" s="52">
        <v>1.5811388300841962E-2</v>
      </c>
      <c r="E108" s="75">
        <v>3.5003883713096751</v>
      </c>
      <c r="F108" s="52">
        <v>0.8660254037844386</v>
      </c>
      <c r="G108" s="78">
        <v>1.4947825928876748</v>
      </c>
      <c r="H108" s="56">
        <v>4.0192909822504763</v>
      </c>
      <c r="I108" s="52">
        <v>3.5105225750591611</v>
      </c>
      <c r="J108" s="52">
        <v>3.6162921273038773</v>
      </c>
      <c r="K108" s="52">
        <v>2.6457513110645907</v>
      </c>
      <c r="L108" s="78">
        <v>3.0181741169124092</v>
      </c>
      <c r="M108" s="56">
        <v>3.5000071428498543</v>
      </c>
      <c r="N108" s="52">
        <v>3.6550478793033525E-2</v>
      </c>
      <c r="O108" s="52">
        <v>3.49658561135002</v>
      </c>
      <c r="P108" s="52">
        <v>1.3228756555322954</v>
      </c>
      <c r="Q108" s="78">
        <v>2.8284271247461903</v>
      </c>
      <c r="R108" s="56">
        <v>5.5132108385223217</v>
      </c>
      <c r="S108" s="52">
        <v>2.0577597041442953E-2</v>
      </c>
      <c r="T108" s="52">
        <v>5.4963600170931315</v>
      </c>
      <c r="U108" s="52">
        <v>0.8660254037844386</v>
      </c>
      <c r="V108" s="78">
        <v>2.2043990110685496</v>
      </c>
      <c r="W108" s="56">
        <v>9.4919201659885442</v>
      </c>
      <c r="X108" s="52">
        <v>7.8062474979981519E-3</v>
      </c>
      <c r="Y108" s="52">
        <v>9.4903539844412546</v>
      </c>
      <c r="Z108" s="52">
        <v>1.5360257159305635</v>
      </c>
      <c r="AA108" s="78">
        <v>2.4462982238476156</v>
      </c>
    </row>
    <row r="109" spans="1:27" ht="16.5" thickTop="1" thickBot="1" x14ac:dyDescent="0.3">
      <c r="A109" s="31" t="s">
        <v>24</v>
      </c>
      <c r="B109" s="32">
        <v>1</v>
      </c>
      <c r="C109" s="53">
        <v>2.1653408921994823</v>
      </c>
      <c r="D109" s="52">
        <v>1.2010112264833486</v>
      </c>
      <c r="E109" s="75">
        <v>2.1261819465531051</v>
      </c>
      <c r="F109" s="52">
        <v>1.4762958618685948</v>
      </c>
      <c r="G109" s="78">
        <v>2.0557323211192262</v>
      </c>
      <c r="H109" s="56">
        <v>2.4493263207985865</v>
      </c>
      <c r="I109" s="52">
        <v>1.696179640704728</v>
      </c>
      <c r="J109" s="52">
        <v>2.8228001118124175</v>
      </c>
      <c r="K109" s="52">
        <v>1.043898814964922</v>
      </c>
      <c r="L109" s="78">
        <v>1.9715673844346668</v>
      </c>
      <c r="M109" s="56">
        <v>1.3827201246788059</v>
      </c>
      <c r="N109" s="52">
        <v>1.6792406050649571</v>
      </c>
      <c r="O109" s="52">
        <v>1.9756381163353536</v>
      </c>
      <c r="P109" s="52">
        <v>1.6229335902042279</v>
      </c>
      <c r="Q109" s="78">
        <v>2.3500384057699208</v>
      </c>
      <c r="R109" s="56">
        <v>1.8896782200713189</v>
      </c>
      <c r="S109" s="52">
        <v>1.6790066862994106</v>
      </c>
      <c r="T109" s="52">
        <v>1.7763155366639658</v>
      </c>
      <c r="U109" s="52">
        <v>1.3003725071334695</v>
      </c>
      <c r="V109" s="78">
        <v>1.8797136766740945</v>
      </c>
      <c r="W109" s="56">
        <v>2.5150249814417047</v>
      </c>
      <c r="X109" s="52">
        <v>2.109303210324418</v>
      </c>
      <c r="Y109" s="52">
        <v>1.9223908769557563</v>
      </c>
      <c r="Z109" s="52">
        <v>1.342674807141325</v>
      </c>
      <c r="AA109" s="78">
        <v>1.4906537506506659</v>
      </c>
    </row>
    <row r="110" spans="1:27" ht="16.5" thickTop="1" thickBot="1" x14ac:dyDescent="0.3">
      <c r="A110" s="31" t="s">
        <v>24</v>
      </c>
      <c r="B110" s="32">
        <v>2</v>
      </c>
      <c r="C110" s="53">
        <v>1.8722861879363659</v>
      </c>
      <c r="D110" s="52">
        <v>0.12574334296829379</v>
      </c>
      <c r="E110" s="75">
        <v>1.8709324871062758</v>
      </c>
      <c r="F110" s="52">
        <v>0.93060485910209956</v>
      </c>
      <c r="G110" s="78">
        <v>1.2226130184517401</v>
      </c>
      <c r="H110" s="56">
        <v>2.0048169448232613</v>
      </c>
      <c r="I110" s="52">
        <v>1.8736388592947044</v>
      </c>
      <c r="J110" s="52">
        <v>1.9016551020897237</v>
      </c>
      <c r="K110" s="52">
        <v>1.6265765616977859</v>
      </c>
      <c r="L110" s="78">
        <v>1.7372893014441806</v>
      </c>
      <c r="M110" s="56">
        <v>1.8708306023929195</v>
      </c>
      <c r="N110" s="52">
        <v>0.19118179514021078</v>
      </c>
      <c r="O110" s="52">
        <v>1.8699159369741785</v>
      </c>
      <c r="P110" s="52">
        <v>1.1501633168956031</v>
      </c>
      <c r="Q110" s="78">
        <v>1.6817928305074292</v>
      </c>
      <c r="R110" s="56">
        <v>2.348022750852794</v>
      </c>
      <c r="S110" s="52">
        <v>0.14344893530954822</v>
      </c>
      <c r="T110" s="52">
        <v>2.3444317045060474</v>
      </c>
      <c r="U110" s="52">
        <v>0.93060485910209956</v>
      </c>
      <c r="V110" s="78">
        <v>1.4847218632015053</v>
      </c>
      <c r="W110" s="56">
        <v>3.0808960005148736</v>
      </c>
      <c r="X110" s="52">
        <v>8.8352971076235756E-2</v>
      </c>
      <c r="Y110" s="52">
        <v>3.0806418137201952</v>
      </c>
      <c r="Z110" s="52">
        <v>1.2393650454690754</v>
      </c>
      <c r="AA110" s="78">
        <v>1.5640646482315288</v>
      </c>
    </row>
    <row r="111" spans="1:27" ht="16.5" thickTop="1" thickBot="1" x14ac:dyDescent="0.3">
      <c r="A111" s="31" t="s">
        <v>42</v>
      </c>
      <c r="B111" s="32">
        <v>1</v>
      </c>
      <c r="C111" s="53">
        <v>10.351814950158875</v>
      </c>
      <c r="D111" s="52">
        <v>36.243265982145559</v>
      </c>
      <c r="E111" s="75">
        <v>12.078005803042561</v>
      </c>
      <c r="F111" s="52">
        <v>42.179881767674139</v>
      </c>
      <c r="G111" s="78">
        <v>20.817542492346593</v>
      </c>
      <c r="H111" s="56">
        <v>9.6859172349919387</v>
      </c>
      <c r="I111" s="52">
        <v>16.184920235732136</v>
      </c>
      <c r="J111" s="52">
        <v>19.063313265658739</v>
      </c>
      <c r="K111" s="52">
        <v>19.8837869517128</v>
      </c>
      <c r="L111" s="78">
        <v>16.260349562347766</v>
      </c>
      <c r="M111" s="56">
        <v>4.4578709589064429</v>
      </c>
      <c r="N111" s="52">
        <v>14.299015263991119</v>
      </c>
      <c r="O111" s="52">
        <v>10.250408541852797</v>
      </c>
      <c r="P111" s="52">
        <v>38.186672710687716</v>
      </c>
      <c r="Q111" s="78">
        <v>20.435116571912356</v>
      </c>
      <c r="R111" s="56">
        <v>9.5965376503336213</v>
      </c>
      <c r="S111" s="52">
        <v>28.2780073482006</v>
      </c>
      <c r="T111" s="52">
        <v>12.91513613860922</v>
      </c>
      <c r="U111" s="52">
        <v>45.230348074207633</v>
      </c>
      <c r="V111" s="78">
        <v>22.44434240804889</v>
      </c>
      <c r="W111" s="56">
        <v>8.3949596743579242</v>
      </c>
      <c r="X111" s="52">
        <v>16.687525398136216</v>
      </c>
      <c r="Y111" s="52">
        <v>11.100055586897186</v>
      </c>
      <c r="Z111" s="52">
        <v>20.656535494481922</v>
      </c>
      <c r="AA111" s="78">
        <v>13.250255561339252</v>
      </c>
    </row>
    <row r="112" spans="1:27" ht="16.5" thickTop="1" thickBot="1" x14ac:dyDescent="0.3">
      <c r="A112" s="31" t="s">
        <v>42</v>
      </c>
      <c r="B112" s="32">
        <v>2</v>
      </c>
      <c r="C112" s="53">
        <v>15.599135079661453</v>
      </c>
      <c r="D112" s="52">
        <v>4.5312916384970743</v>
      </c>
      <c r="E112" s="75">
        <v>20.27561622439746</v>
      </c>
      <c r="F112" s="52">
        <v>62.04032394013997</v>
      </c>
      <c r="G112" s="78">
        <v>18.454536127573434</v>
      </c>
      <c r="H112" s="56">
        <v>12.069939463114155</v>
      </c>
      <c r="I112" s="52">
        <v>25.657498929061344</v>
      </c>
      <c r="J112" s="52">
        <v>20.431427365992199</v>
      </c>
      <c r="K112" s="52">
        <v>32.531531233955718</v>
      </c>
      <c r="L112" s="78">
        <v>19.038786865141706</v>
      </c>
      <c r="M112" s="56">
        <v>9.2432342015460467</v>
      </c>
      <c r="N112" s="52">
        <v>1.7283923167834629</v>
      </c>
      <c r="O112" s="52">
        <v>20.37222864741036</v>
      </c>
      <c r="P112" s="52">
        <v>76.677554459706869</v>
      </c>
      <c r="Q112" s="78">
        <v>28.029880508457154</v>
      </c>
      <c r="R112" s="56">
        <v>14.376382983944859</v>
      </c>
      <c r="S112" s="52">
        <v>3.808800140977052</v>
      </c>
      <c r="T112" s="52">
        <v>18.656573794935223</v>
      </c>
      <c r="U112" s="52">
        <v>62.04032394013997</v>
      </c>
      <c r="V112" s="78">
        <v>24.240356950228659</v>
      </c>
      <c r="W112" s="56">
        <v>13.969941622240542</v>
      </c>
      <c r="X112" s="52">
        <v>1.2565755886397976</v>
      </c>
      <c r="Y112" s="52">
        <v>20.506851813747343</v>
      </c>
      <c r="Z112" s="52">
        <v>39.659681455010414</v>
      </c>
      <c r="AA112" s="78">
        <v>21.207656247207169</v>
      </c>
    </row>
    <row r="113" spans="1:27" ht="16.5" thickTop="1" thickBot="1" x14ac:dyDescent="0.3">
      <c r="A113" s="31" t="s">
        <v>40</v>
      </c>
      <c r="B113" s="32">
        <v>1</v>
      </c>
      <c r="C113" s="82">
        <v>-21.317881223649412</v>
      </c>
      <c r="D113" s="83">
        <v>21.738227043202386</v>
      </c>
      <c r="E113" s="84">
        <v>-19.77067852143902</v>
      </c>
      <c r="F113" s="83">
        <v>-10.009022556390972</v>
      </c>
      <c r="G113" s="85">
        <v>-36.263667041619804</v>
      </c>
      <c r="H113" s="86">
        <v>-72.126555638538605</v>
      </c>
      <c r="I113" s="83">
        <v>-6.5944346587493996</v>
      </c>
      <c r="J113" s="83">
        <v>-153.60734397062973</v>
      </c>
      <c r="K113" s="83">
        <v>2.6947368421052631</v>
      </c>
      <c r="L113" s="85">
        <v>-39.248338011523117</v>
      </c>
      <c r="M113" s="86">
        <v>2.6321189819516597</v>
      </c>
      <c r="N113" s="83">
        <v>75.218429023816839</v>
      </c>
      <c r="O113" s="83">
        <v>34.290558919614838</v>
      </c>
      <c r="P113" s="83">
        <v>-5.115057915057915</v>
      </c>
      <c r="Q113" s="85">
        <v>-62.132084309133475</v>
      </c>
      <c r="R113" s="86">
        <v>-27.657503123959966</v>
      </c>
      <c r="S113" s="83">
        <v>-23.240899905480102</v>
      </c>
      <c r="T113" s="83">
        <v>9.6982643545968301</v>
      </c>
      <c r="U113" s="83">
        <v>-8.509601873536301</v>
      </c>
      <c r="V113" s="85">
        <v>-36.199821205077782</v>
      </c>
      <c r="W113" s="86">
        <v>233.47466786834266</v>
      </c>
      <c r="X113" s="83">
        <v>-16.08357643752845</v>
      </c>
      <c r="Y113" s="83">
        <v>13.704130595364932</v>
      </c>
      <c r="Z113" s="83">
        <v>23.560439560439569</v>
      </c>
      <c r="AA113" s="85">
        <v>44.985171790235071</v>
      </c>
    </row>
    <row r="114" spans="1:27" ht="16.5" thickTop="1" thickBot="1" x14ac:dyDescent="0.3">
      <c r="A114" s="31" t="s">
        <v>40</v>
      </c>
      <c r="B114" s="32">
        <v>2</v>
      </c>
      <c r="C114" s="82">
        <v>14.641069702729949</v>
      </c>
      <c r="D114" s="83">
        <v>6.6971428571437432E-4</v>
      </c>
      <c r="E114" s="84">
        <v>13.769561150593079</v>
      </c>
      <c r="F114" s="83">
        <v>0</v>
      </c>
      <c r="G114" s="85">
        <v>-0.48111888111888101</v>
      </c>
      <c r="H114" s="86">
        <v>-32.183600579610221</v>
      </c>
      <c r="I114" s="83">
        <v>128.73171239091477</v>
      </c>
      <c r="J114" s="83">
        <v>-0.76141349674470138</v>
      </c>
      <c r="K114" s="83">
        <v>-15.020408163265301</v>
      </c>
      <c r="L114" s="85">
        <v>-2.3574614065180102</v>
      </c>
      <c r="M114" s="86">
        <v>23.579384079668433</v>
      </c>
      <c r="N114" s="83">
        <v>3.7221052631559992E-4</v>
      </c>
      <c r="O114" s="83">
        <v>23.630235922666639</v>
      </c>
      <c r="P114" s="83">
        <v>18.285714285714278</v>
      </c>
      <c r="Q114" s="85">
        <v>53.885714285714265</v>
      </c>
      <c r="R114" s="86">
        <v>-53.399262373056771</v>
      </c>
      <c r="S114" s="83">
        <v>6.871481286241678E-4</v>
      </c>
      <c r="T114" s="83">
        <v>-53.324070857462836</v>
      </c>
      <c r="U114" s="83">
        <v>0</v>
      </c>
      <c r="V114" s="85">
        <v>12.725769407441435</v>
      </c>
      <c r="W114" s="86">
        <v>433.14231138383201</v>
      </c>
      <c r="X114" s="83">
        <v>-1.1076923076924509E-4</v>
      </c>
      <c r="Y114" s="83">
        <v>432.181479827006</v>
      </c>
      <c r="Z114" s="83">
        <v>-2.1267738883632923</v>
      </c>
      <c r="AA114" s="85">
        <v>-3.6744498321521819</v>
      </c>
    </row>
    <row r="115" spans="1:27" ht="16.5" thickTop="1" thickBot="1" x14ac:dyDescent="0.3">
      <c r="A115" s="31" t="s">
        <v>41</v>
      </c>
      <c r="B115" s="32">
        <v>1</v>
      </c>
      <c r="C115" s="82">
        <v>-9.5666998704235979</v>
      </c>
      <c r="D115" s="83">
        <v>5.9861662879390369</v>
      </c>
      <c r="E115" s="84">
        <v>-5.4568801938737153</v>
      </c>
      <c r="F115" s="83">
        <v>0.35519900435936103</v>
      </c>
      <c r="G115" s="85">
        <v>-1.6094372277828817</v>
      </c>
      <c r="H115" s="86">
        <v>1.5283753960182731</v>
      </c>
      <c r="I115" s="83">
        <v>-3.9747345223610417</v>
      </c>
      <c r="J115" s="83">
        <v>4.3791283434919519</v>
      </c>
      <c r="K115" s="83">
        <v>-0.87907268628625002</v>
      </c>
      <c r="L115" s="85">
        <v>2.4769107751857593</v>
      </c>
      <c r="M115" s="86">
        <v>-2.4738146969538084</v>
      </c>
      <c r="N115" s="83">
        <v>15.248911992781395</v>
      </c>
      <c r="O115" s="83">
        <v>-11.94556067722085</v>
      </c>
      <c r="P115" s="83">
        <v>2.5064611431725528</v>
      </c>
      <c r="Q115" s="85">
        <v>-1.4529511454877257</v>
      </c>
      <c r="R115" s="86">
        <v>1.237751994383099</v>
      </c>
      <c r="S115" s="83">
        <v>3.724028659630096</v>
      </c>
      <c r="T115" s="83">
        <v>3.2678081471643785</v>
      </c>
      <c r="U115" s="83">
        <v>0.13805672206881489</v>
      </c>
      <c r="V115" s="85">
        <v>-0.73938317337439807</v>
      </c>
      <c r="W115" s="86">
        <v>37.055901205429549</v>
      </c>
      <c r="X115" s="83">
        <v>5.1991811153267093</v>
      </c>
      <c r="Y115" s="83">
        <v>4.828503487781501</v>
      </c>
      <c r="Z115" s="83">
        <v>6.610091358234218</v>
      </c>
      <c r="AA115" s="85">
        <v>10.480401053399254</v>
      </c>
    </row>
    <row r="116" spans="1:27" ht="15.75" thickTop="1" x14ac:dyDescent="0.25">
      <c r="A116" s="31" t="s">
        <v>41</v>
      </c>
      <c r="B116" s="32">
        <v>2</v>
      </c>
      <c r="C116" s="82">
        <v>6.5835466487721375</v>
      </c>
      <c r="D116" s="83">
        <v>3.1615469089173558E-3</v>
      </c>
      <c r="E116" s="84">
        <v>6.4271724460324426</v>
      </c>
      <c r="F116" s="83">
        <v>1.4180645472031996</v>
      </c>
      <c r="G116" s="85">
        <v>-0.674208178007353</v>
      </c>
      <c r="H116" s="86">
        <v>3.6998527258707243</v>
      </c>
      <c r="I116" s="83">
        <v>22.724943563891696</v>
      </c>
      <c r="J116" s="83">
        <v>8.0249113696491943</v>
      </c>
      <c r="K116" s="83">
        <v>4.249016324435031</v>
      </c>
      <c r="L116" s="85">
        <v>5.799762176641881</v>
      </c>
      <c r="M116" s="86">
        <v>6.7935423240377908</v>
      </c>
      <c r="N116" s="83">
        <v>-4.9908510731335289E-3</v>
      </c>
      <c r="O116" s="83">
        <v>6.8924009132796815</v>
      </c>
      <c r="P116" s="83">
        <v>5.2578894486656118</v>
      </c>
      <c r="Q116" s="85">
        <v>12.733574288127674</v>
      </c>
      <c r="R116" s="86">
        <v>9.3583986133535024</v>
      </c>
      <c r="S116" s="83">
        <v>5.390110758494859E-3</v>
      </c>
      <c r="T116" s="83">
        <v>9.230801974584903</v>
      </c>
      <c r="U116" s="83">
        <v>1.4180645472031996</v>
      </c>
      <c r="V116" s="85">
        <v>5.8434069471339001</v>
      </c>
      <c r="W116" s="86">
        <v>63.744179291542743</v>
      </c>
      <c r="X116" s="83">
        <v>-2.3301882481615969E-4</v>
      </c>
      <c r="Y116" s="83">
        <v>63.681595055699731</v>
      </c>
      <c r="Z116" s="83">
        <v>2.3919628124474115</v>
      </c>
      <c r="AA116" s="85">
        <v>3.7196852656188835</v>
      </c>
    </row>
  </sheetData>
  <pageMargins left="0.70866141732283472" right="0.70866141732283472" top="0.74803149606299213" bottom="0.74803149606299213" header="0.31496062992125984" footer="0.31496062992125984"/>
  <pageSetup paperSize="8" scale="6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mputeAllButton_Click">
                <anchor moveWithCells="1" sizeWithCells="1">
                  <from>
                    <xdr:col>28</xdr:col>
                    <xdr:colOff>9525</xdr:colOff>
                    <xdr:row>16</xdr:row>
                    <xdr:rowOff>19050</xdr:rowOff>
                  </from>
                  <to>
                    <xdr:col>29</xdr:col>
                    <xdr:colOff>1295400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3D898-BA9F-4FF2-8336-ED8CA59FD1A7}">
  <sheetPr codeName="Arkusz9"/>
  <dimension ref="A1:CE152"/>
  <sheetViews>
    <sheetView tabSelected="1" topLeftCell="D82" zoomScale="70" zoomScaleNormal="70" workbookViewId="0">
      <selection activeCell="AE26" sqref="AE26"/>
    </sheetView>
  </sheetViews>
  <sheetFormatPr defaultRowHeight="15" x14ac:dyDescent="0.25"/>
  <cols>
    <col min="14" max="14" width="5.5703125" customWidth="1"/>
    <col min="15" max="15" width="12.5703125" customWidth="1"/>
    <col min="16" max="25" width="6.28515625" customWidth="1"/>
    <col min="27" max="27" width="14.28515625" customWidth="1"/>
    <col min="28" max="28" width="3.5703125" customWidth="1"/>
    <col min="30" max="30" width="7.42578125" customWidth="1"/>
    <col min="31" max="31" width="7.28515625" customWidth="1"/>
  </cols>
  <sheetData>
    <row r="1" spans="1:57" ht="15.75" thickBot="1" x14ac:dyDescent="0.3">
      <c r="A1" s="51" t="s">
        <v>7</v>
      </c>
      <c r="B1" s="51" t="s">
        <v>8</v>
      </c>
      <c r="C1" s="51" t="s">
        <v>36</v>
      </c>
      <c r="D1" s="59" t="s">
        <v>10</v>
      </c>
      <c r="E1" s="60" t="s">
        <v>9</v>
      </c>
      <c r="F1" s="55" t="s">
        <v>7</v>
      </c>
      <c r="G1" s="55" t="s">
        <v>8</v>
      </c>
      <c r="H1" s="55" t="s">
        <v>36</v>
      </c>
      <c r="I1" s="64" t="s">
        <v>10</v>
      </c>
      <c r="J1" s="65" t="s">
        <v>9</v>
      </c>
      <c r="K1" s="51" t="s">
        <v>7</v>
      </c>
      <c r="L1" s="51" t="s">
        <v>8</v>
      </c>
      <c r="M1" s="51" t="s">
        <v>36</v>
      </c>
      <c r="N1" s="59" t="s">
        <v>10</v>
      </c>
      <c r="O1" s="60" t="s">
        <v>9</v>
      </c>
      <c r="P1" s="55" t="s">
        <v>7</v>
      </c>
      <c r="Q1" s="55" t="s">
        <v>8</v>
      </c>
      <c r="R1" s="55" t="s">
        <v>36</v>
      </c>
      <c r="S1" s="64" t="s">
        <v>10</v>
      </c>
      <c r="T1" s="65" t="s">
        <v>9</v>
      </c>
      <c r="U1" s="51" t="s">
        <v>7</v>
      </c>
      <c r="V1" s="51" t="s">
        <v>8</v>
      </c>
      <c r="W1" s="51" t="s">
        <v>36</v>
      </c>
      <c r="X1" s="59" t="s">
        <v>10</v>
      </c>
      <c r="Y1" s="60" t="s">
        <v>9</v>
      </c>
      <c r="Z1" s="101" t="s">
        <v>58</v>
      </c>
      <c r="AF1" t="s">
        <v>89</v>
      </c>
      <c r="AG1" s="51" t="s">
        <v>7</v>
      </c>
      <c r="AH1" s="51" t="s">
        <v>8</v>
      </c>
      <c r="AI1" s="51" t="s">
        <v>36</v>
      </c>
      <c r="AJ1" s="59" t="s">
        <v>10</v>
      </c>
      <c r="AK1" s="60" t="s">
        <v>9</v>
      </c>
      <c r="AL1" s="55" t="s">
        <v>7</v>
      </c>
      <c r="AM1" s="55" t="s">
        <v>8</v>
      </c>
      <c r="AN1" s="55" t="s">
        <v>36</v>
      </c>
      <c r="AO1" s="64" t="s">
        <v>10</v>
      </c>
      <c r="AP1" s="65" t="s">
        <v>9</v>
      </c>
      <c r="AQ1" s="51" t="s">
        <v>7</v>
      </c>
      <c r="AR1" s="51" t="s">
        <v>8</v>
      </c>
      <c r="AS1" s="51" t="s">
        <v>36</v>
      </c>
      <c r="AT1" s="59" t="s">
        <v>10</v>
      </c>
      <c r="AU1" s="60" t="s">
        <v>9</v>
      </c>
      <c r="AV1" s="55" t="s">
        <v>7</v>
      </c>
      <c r="AW1" s="55" t="s">
        <v>8</v>
      </c>
      <c r="AX1" s="55" t="s">
        <v>36</v>
      </c>
      <c r="AY1" s="64" t="s">
        <v>10</v>
      </c>
      <c r="AZ1" s="65" t="s">
        <v>9</v>
      </c>
      <c r="BA1" s="51" t="s">
        <v>7</v>
      </c>
      <c r="BB1" s="51" t="s">
        <v>8</v>
      </c>
      <c r="BC1" s="51" t="s">
        <v>36</v>
      </c>
      <c r="BD1" s="59" t="s">
        <v>10</v>
      </c>
      <c r="BE1" s="60" t="s">
        <v>9</v>
      </c>
    </row>
    <row r="2" spans="1:57" ht="16.5" thickTop="1" thickBot="1" x14ac:dyDescent="0.3">
      <c r="A2" s="92">
        <v>21.080000000000002</v>
      </c>
      <c r="B2" s="88">
        <v>2.7679999999999998</v>
      </c>
      <c r="C2" s="89">
        <v>18.312000000000005</v>
      </c>
      <c r="D2" s="88">
        <v>1.4</v>
      </c>
      <c r="E2" s="90">
        <v>4.4000000000000004</v>
      </c>
      <c r="F2" s="91">
        <v>22.643999999999998</v>
      </c>
      <c r="G2" s="88">
        <v>9.3879999999999999</v>
      </c>
      <c r="H2" s="88">
        <v>13.256</v>
      </c>
      <c r="I2" s="88">
        <v>2.4</v>
      </c>
      <c r="J2" s="90">
        <v>4.5999999999999996</v>
      </c>
      <c r="K2" s="91">
        <v>26.354000000000003</v>
      </c>
      <c r="L2" s="88">
        <v>10.802000000000001</v>
      </c>
      <c r="M2" s="88">
        <v>15.551999999999998</v>
      </c>
      <c r="N2" s="88">
        <v>2.4</v>
      </c>
      <c r="O2" s="90">
        <v>6.2</v>
      </c>
      <c r="P2" s="91">
        <v>18.713999999999999</v>
      </c>
      <c r="Q2" s="88">
        <v>7.0280000000000005</v>
      </c>
      <c r="R2" s="88">
        <v>11.686</v>
      </c>
      <c r="S2" s="88">
        <v>1.6</v>
      </c>
      <c r="T2" s="90">
        <v>3.6</v>
      </c>
      <c r="U2" s="91">
        <v>23.78</v>
      </c>
      <c r="V2" s="88">
        <v>10.443999999999999</v>
      </c>
      <c r="W2" s="88">
        <v>13.336000000000002</v>
      </c>
      <c r="X2" s="88">
        <v>2.8</v>
      </c>
      <c r="Y2" s="90">
        <v>5.4</v>
      </c>
      <c r="Z2" s="100">
        <v>2</v>
      </c>
      <c r="AG2" s="53">
        <v>0.75092052609849036</v>
      </c>
      <c r="AH2" s="52">
        <v>4.3253077270721196E-2</v>
      </c>
      <c r="AI2" s="75">
        <v>0.75192722553644797</v>
      </c>
      <c r="AJ2" s="52">
        <v>0.34996355115805833</v>
      </c>
      <c r="AK2" s="78">
        <v>0.50492670327448441</v>
      </c>
      <c r="AL2" s="56">
        <v>0.9578544512312821</v>
      </c>
      <c r="AM2" s="52">
        <v>0.6507971214720244</v>
      </c>
      <c r="AN2" s="52">
        <v>0.98382856396597529</v>
      </c>
      <c r="AO2" s="52">
        <v>0.34996355115805833</v>
      </c>
      <c r="AP2" s="78">
        <v>0.44721359549995793</v>
      </c>
      <c r="AQ2" s="56">
        <v>1.1858769746291333</v>
      </c>
      <c r="AR2" s="52">
        <v>0.35436236836506707</v>
      </c>
      <c r="AS2" s="52">
        <v>1.232995312961443</v>
      </c>
      <c r="AT2" s="52">
        <v>0.61169088490625234</v>
      </c>
      <c r="AU2" s="78">
        <v>0.87455870416966164</v>
      </c>
      <c r="AV2" s="56">
        <v>0.96262977570376396</v>
      </c>
      <c r="AW2" s="52">
        <v>0.72810071025617107</v>
      </c>
      <c r="AX2" s="52">
        <v>0.8868158239320012</v>
      </c>
      <c r="AY2" s="52">
        <v>0.34996355115805833</v>
      </c>
      <c r="AZ2" s="78">
        <v>0.34996355115805833</v>
      </c>
      <c r="BA2" s="56">
        <v>1.165584618027641</v>
      </c>
      <c r="BB2" s="52">
        <v>0.89670225510976342</v>
      </c>
      <c r="BC2" s="52">
        <v>1.0137576045928658</v>
      </c>
      <c r="BD2" s="52">
        <v>0.60615465140298708</v>
      </c>
      <c r="BE2" s="78">
        <v>0.63733972120980975</v>
      </c>
    </row>
    <row r="3" spans="1:57" ht="15.75" thickTop="1" x14ac:dyDescent="0.25">
      <c r="A3" s="92">
        <v>10.4</v>
      </c>
      <c r="B3" s="88">
        <v>2.7679999999999998</v>
      </c>
      <c r="C3" s="89">
        <v>7.6319999999999997</v>
      </c>
      <c r="D3" s="88">
        <v>1</v>
      </c>
      <c r="E3" s="90">
        <v>3.6</v>
      </c>
      <c r="F3" s="91">
        <v>15.134</v>
      </c>
      <c r="G3" s="88">
        <v>5.9679999999999991</v>
      </c>
      <c r="H3" s="88">
        <v>9.1660000000000004</v>
      </c>
      <c r="I3" s="88">
        <v>2.6</v>
      </c>
      <c r="J3" s="90">
        <v>5.2</v>
      </c>
      <c r="K3" s="91">
        <v>19.494</v>
      </c>
      <c r="L3" s="88">
        <v>11.012</v>
      </c>
      <c r="M3" s="88">
        <v>8.4819999999999993</v>
      </c>
      <c r="N3" s="88">
        <v>1</v>
      </c>
      <c r="O3" s="90">
        <v>3.6</v>
      </c>
      <c r="P3" s="91">
        <v>13.086000000000002</v>
      </c>
      <c r="Q3" s="88">
        <v>3.754</v>
      </c>
      <c r="R3" s="88">
        <v>9.331999999999999</v>
      </c>
      <c r="S3" s="88">
        <v>1</v>
      </c>
      <c r="T3" s="90">
        <v>3.6</v>
      </c>
      <c r="U3" s="91">
        <v>18.346</v>
      </c>
      <c r="V3" s="88">
        <v>7.0340000000000007</v>
      </c>
      <c r="W3" s="88">
        <v>11.312000000000001</v>
      </c>
      <c r="X3" s="88">
        <v>1</v>
      </c>
      <c r="Y3" s="90">
        <v>3.2</v>
      </c>
      <c r="Z3" s="100">
        <v>1</v>
      </c>
      <c r="AG3" s="53">
        <v>0.90313600584581055</v>
      </c>
      <c r="AH3" s="52">
        <v>4.9492320038397541E-2</v>
      </c>
      <c r="AI3" s="75">
        <v>0.9034068753309682</v>
      </c>
      <c r="AJ3" s="52">
        <v>0</v>
      </c>
      <c r="AK3" s="78">
        <v>0.34996355115805833</v>
      </c>
      <c r="AL3" s="56">
        <v>1.0127807589225835</v>
      </c>
      <c r="AM3" s="52">
        <v>7.4617453473232828E-2</v>
      </c>
      <c r="AN3" s="52">
        <v>1.0116646858725522</v>
      </c>
      <c r="AO3" s="52">
        <v>0.44721359549995793</v>
      </c>
      <c r="AP3" s="78">
        <v>0.49492320038397652</v>
      </c>
      <c r="AQ3" s="56">
        <v>0.99861688312657648</v>
      </c>
      <c r="AR3" s="52">
        <v>8.9267512148903189E-2</v>
      </c>
      <c r="AS3" s="52">
        <v>0.99730878048476201</v>
      </c>
      <c r="AT3" s="52">
        <v>0</v>
      </c>
      <c r="AU3" s="78">
        <v>0.34996355115805833</v>
      </c>
      <c r="AV3" s="56">
        <v>0.81377883059782785</v>
      </c>
      <c r="AW3" s="52">
        <v>5.8233710096151588E-2</v>
      </c>
      <c r="AX3" s="52">
        <v>0.8121909110625235</v>
      </c>
      <c r="AY3" s="52">
        <v>0</v>
      </c>
      <c r="AZ3" s="78">
        <v>0.44721359549995793</v>
      </c>
      <c r="BA3" s="56">
        <v>0.94000302195551089</v>
      </c>
      <c r="BB3" s="52">
        <v>5.8233710096151414E-2</v>
      </c>
      <c r="BC3" s="52">
        <v>0.93961209296042658</v>
      </c>
      <c r="BD3" s="52">
        <v>0</v>
      </c>
      <c r="BE3" s="78">
        <v>0.31622776601683794</v>
      </c>
    </row>
    <row r="4" spans="1:57" ht="15.75" thickBot="1" x14ac:dyDescent="0.3">
      <c r="A4" s="51" t="s">
        <v>7</v>
      </c>
      <c r="B4" s="51" t="s">
        <v>8</v>
      </c>
      <c r="C4" s="51" t="s">
        <v>36</v>
      </c>
      <c r="D4" s="59" t="s">
        <v>10</v>
      </c>
      <c r="E4" s="60" t="s">
        <v>9</v>
      </c>
      <c r="F4" s="55" t="s">
        <v>7</v>
      </c>
      <c r="G4" s="55" t="s">
        <v>8</v>
      </c>
      <c r="H4" s="55" t="s">
        <v>36</v>
      </c>
      <c r="I4" s="64" t="s">
        <v>10</v>
      </c>
      <c r="J4" s="65" t="s">
        <v>9</v>
      </c>
      <c r="K4" s="51" t="s">
        <v>7</v>
      </c>
      <c r="L4" s="51" t="s">
        <v>8</v>
      </c>
      <c r="M4" s="51" t="s">
        <v>36</v>
      </c>
      <c r="N4" s="59" t="s">
        <v>10</v>
      </c>
      <c r="O4" s="60" t="s">
        <v>9</v>
      </c>
      <c r="P4" s="55" t="s">
        <v>7</v>
      </c>
      <c r="Q4" s="55" t="s">
        <v>8</v>
      </c>
      <c r="R4" s="55" t="s">
        <v>36</v>
      </c>
      <c r="S4" s="64" t="s">
        <v>10</v>
      </c>
      <c r="T4" s="65" t="s">
        <v>9</v>
      </c>
      <c r="U4" s="51" t="s">
        <v>7</v>
      </c>
      <c r="V4" s="51" t="s">
        <v>8</v>
      </c>
      <c r="W4" s="51" t="s">
        <v>36</v>
      </c>
      <c r="X4" s="59" t="s">
        <v>10</v>
      </c>
      <c r="Y4" s="60" t="s">
        <v>9</v>
      </c>
      <c r="AG4" s="51" t="s">
        <v>7</v>
      </c>
      <c r="AH4" s="51" t="s">
        <v>8</v>
      </c>
      <c r="AI4" s="51" t="s">
        <v>36</v>
      </c>
      <c r="AJ4" s="59" t="s">
        <v>10</v>
      </c>
      <c r="AK4" s="60" t="s">
        <v>9</v>
      </c>
      <c r="AL4" s="55" t="s">
        <v>7</v>
      </c>
      <c r="AM4" s="55" t="s">
        <v>8</v>
      </c>
      <c r="AN4" s="55" t="s">
        <v>36</v>
      </c>
      <c r="AO4" s="64" t="s">
        <v>10</v>
      </c>
      <c r="AP4" s="65" t="s">
        <v>9</v>
      </c>
      <c r="AQ4" s="51" t="s">
        <v>7</v>
      </c>
      <c r="AR4" s="51" t="s">
        <v>8</v>
      </c>
      <c r="AS4" s="51" t="s">
        <v>36</v>
      </c>
      <c r="AT4" s="59" t="s">
        <v>10</v>
      </c>
      <c r="AU4" s="60" t="s">
        <v>9</v>
      </c>
      <c r="AV4" s="55" t="s">
        <v>7</v>
      </c>
      <c r="AW4" s="55" t="s">
        <v>8</v>
      </c>
      <c r="AX4" s="55" t="s">
        <v>36</v>
      </c>
      <c r="AY4" s="64" t="s">
        <v>10</v>
      </c>
      <c r="AZ4" s="65" t="s">
        <v>9</v>
      </c>
      <c r="BA4" s="51" t="s">
        <v>7</v>
      </c>
      <c r="BB4" s="51" t="s">
        <v>8</v>
      </c>
      <c r="BC4" s="51" t="s">
        <v>36</v>
      </c>
      <c r="BD4" s="59" t="s">
        <v>10</v>
      </c>
      <c r="BE4" s="60" t="s">
        <v>9</v>
      </c>
    </row>
    <row r="5" spans="1:57" ht="16.5" thickTop="1" thickBot="1" x14ac:dyDescent="0.3">
      <c r="A5" s="92">
        <v>23.271666666666665</v>
      </c>
      <c r="B5" s="88">
        <v>2.7766666666666668</v>
      </c>
      <c r="C5" s="89">
        <v>20.495000000000001</v>
      </c>
      <c r="D5" s="88">
        <v>3.3333333333333335</v>
      </c>
      <c r="E5" s="90">
        <v>9.0833333333333339</v>
      </c>
      <c r="F5" s="91">
        <v>33.489166666666669</v>
      </c>
      <c r="G5" s="88">
        <v>9.7016666666666662</v>
      </c>
      <c r="H5" s="88">
        <v>23.787499999999998</v>
      </c>
      <c r="I5" s="88">
        <v>5.25</v>
      </c>
      <c r="J5" s="90">
        <v>9.5833333333333339</v>
      </c>
      <c r="K5" s="91">
        <v>36.229999999999997</v>
      </c>
      <c r="L5" s="88">
        <v>11.199999999999998</v>
      </c>
      <c r="M5" s="88">
        <v>25.03</v>
      </c>
      <c r="N5" s="88">
        <v>3.8333333333333335</v>
      </c>
      <c r="O5" s="90">
        <v>8</v>
      </c>
      <c r="P5" s="91">
        <v>25.110000000000003</v>
      </c>
      <c r="Q5" s="88">
        <v>6.4791666666666652</v>
      </c>
      <c r="R5" s="88">
        <v>18.630833333333328</v>
      </c>
      <c r="S5" s="88">
        <v>3.0833333333333335</v>
      </c>
      <c r="T5" s="90">
        <v>6.916666666666667</v>
      </c>
      <c r="U5" s="91">
        <v>30.365833333333331</v>
      </c>
      <c r="V5" s="88">
        <v>12.625833333333334</v>
      </c>
      <c r="W5" s="88">
        <v>17.740000000000002</v>
      </c>
      <c r="X5" s="88">
        <v>3.8333333333333335</v>
      </c>
      <c r="Y5" s="90">
        <v>8.5</v>
      </c>
      <c r="Z5" s="100">
        <v>3</v>
      </c>
      <c r="AG5" s="53">
        <v>0.90873886179282881</v>
      </c>
      <c r="AH5" s="52">
        <v>5.727858774595964E-2</v>
      </c>
      <c r="AI5" s="75">
        <v>0.90878212022850358</v>
      </c>
      <c r="AJ5" s="52">
        <v>0.66989830118300453</v>
      </c>
      <c r="AK5" s="78">
        <v>0.71761198586899655</v>
      </c>
      <c r="AL5" s="56">
        <v>2.1585600766336763</v>
      </c>
      <c r="AM5" s="52">
        <v>0.87149816258113322</v>
      </c>
      <c r="AN5" s="52">
        <v>2.1586672814435746</v>
      </c>
      <c r="AO5" s="52">
        <v>0.80901890358026163</v>
      </c>
      <c r="AP5" s="78">
        <v>0.8154980507720514</v>
      </c>
      <c r="AQ5" s="56">
        <v>1.6122460902876312</v>
      </c>
      <c r="AR5" s="52">
        <v>0.77750515613833382</v>
      </c>
      <c r="AS5" s="52">
        <v>1.7009559450216096</v>
      </c>
      <c r="AT5" s="52">
        <v>0.87328415616288968</v>
      </c>
      <c r="AU5" s="78">
        <v>1.0392898776254118</v>
      </c>
      <c r="AV5" s="56">
        <v>0.96242802971508112</v>
      </c>
      <c r="AW5" s="52">
        <v>0.79947226568065533</v>
      </c>
      <c r="AX5" s="52">
        <v>1.0111570587954655</v>
      </c>
      <c r="AY5" s="52">
        <v>0.75051387491604094</v>
      </c>
      <c r="AZ5" s="78">
        <v>0.71761198586899644</v>
      </c>
      <c r="BA5" s="56">
        <v>0.99918741069200867</v>
      </c>
      <c r="BB5" s="52">
        <v>0.85737862543375931</v>
      </c>
      <c r="BC5" s="52">
        <v>0.91140475323830705</v>
      </c>
      <c r="BD5" s="52">
        <v>0.72711122316469801</v>
      </c>
      <c r="BE5" s="78">
        <v>0.86401371678851535</v>
      </c>
    </row>
    <row r="6" spans="1:57" ht="15.75" thickTop="1" x14ac:dyDescent="0.25">
      <c r="A6" s="92">
        <v>14.945833333333333</v>
      </c>
      <c r="B6" s="88">
        <v>2.7725000000000004</v>
      </c>
      <c r="C6" s="89">
        <v>12.404999999999999</v>
      </c>
      <c r="D6" s="88">
        <v>2.4166666666666665</v>
      </c>
      <c r="E6" s="90">
        <v>6.25</v>
      </c>
      <c r="F6" s="91">
        <v>20.950833333333332</v>
      </c>
      <c r="G6" s="88">
        <v>5.9783333333333344</v>
      </c>
      <c r="H6" s="88">
        <v>14.972500000000002</v>
      </c>
      <c r="I6" s="88">
        <v>4.166666666666667</v>
      </c>
      <c r="J6" s="90">
        <v>7.666666666666667</v>
      </c>
      <c r="K6" s="91">
        <v>26.74666666666667</v>
      </c>
      <c r="L6" s="88">
        <v>11.049166666666666</v>
      </c>
      <c r="M6" s="88">
        <v>15.697499999999998</v>
      </c>
      <c r="N6" s="88">
        <v>1.8333333333333333</v>
      </c>
      <c r="O6" s="90">
        <v>5.666666666666667</v>
      </c>
      <c r="P6" s="91">
        <v>17.969166666666663</v>
      </c>
      <c r="Q6" s="88">
        <v>4.2299999999999995</v>
      </c>
      <c r="R6" s="88">
        <v>13.739166666666668</v>
      </c>
      <c r="S6" s="88">
        <v>1.6666666666666667</v>
      </c>
      <c r="T6" s="90">
        <v>5.666666666666667</v>
      </c>
      <c r="U6" s="91">
        <v>25.664166666666663</v>
      </c>
      <c r="V6" s="88">
        <v>7.7416666666666663</v>
      </c>
      <c r="W6" s="88">
        <v>17.922499999999999</v>
      </c>
      <c r="X6" s="88">
        <v>3</v>
      </c>
      <c r="Y6" s="90">
        <v>7.083333333333333</v>
      </c>
      <c r="Z6" s="100">
        <v>2</v>
      </c>
      <c r="AG6" s="53">
        <v>0.80590280144747906</v>
      </c>
      <c r="AH6" s="52">
        <v>6.3002246790719016E-2</v>
      </c>
      <c r="AI6" s="75">
        <v>0.79625547916642414</v>
      </c>
      <c r="AJ6" s="52">
        <v>0.60020164087077477</v>
      </c>
      <c r="AK6" s="78">
        <v>0.63002246790719119</v>
      </c>
      <c r="AL6" s="56">
        <v>1.0661845545704109</v>
      </c>
      <c r="AM6" s="52">
        <v>6.8253021567726599E-2</v>
      </c>
      <c r="AN6" s="52">
        <v>1.066398212313292</v>
      </c>
      <c r="AO6" s="52">
        <v>0.74663378350934906</v>
      </c>
      <c r="AP6" s="78">
        <v>0.77889397488150458</v>
      </c>
      <c r="AQ6" s="56">
        <v>0.97118573688069731</v>
      </c>
      <c r="AR6" s="52">
        <v>9.9064649401766375E-2</v>
      </c>
      <c r="AS6" s="52">
        <v>0.97161893028596946</v>
      </c>
      <c r="AT6" s="52">
        <v>0.56572761952597406</v>
      </c>
      <c r="AU6" s="78">
        <v>0.74348557376223956</v>
      </c>
      <c r="AV6" s="56">
        <v>0.7892826336107619</v>
      </c>
      <c r="AW6" s="52">
        <v>0.55095231963821201</v>
      </c>
      <c r="AX6" s="52">
        <v>0.78768626415282328</v>
      </c>
      <c r="AY6" s="52">
        <v>0.54279630202719209</v>
      </c>
      <c r="AZ6" s="78">
        <v>0.63218084987029355</v>
      </c>
      <c r="BA6" s="56">
        <v>1.1024355229458773</v>
      </c>
      <c r="BB6" s="52">
        <v>0.76915303202355823</v>
      </c>
      <c r="BC6" s="52">
        <v>1.1153931910841561</v>
      </c>
      <c r="BD6" s="52">
        <v>0.69189128761545271</v>
      </c>
      <c r="BE6" s="78">
        <v>0.80069455665662337</v>
      </c>
    </row>
    <row r="7" spans="1:57" ht="15.75" thickBot="1" x14ac:dyDescent="0.3">
      <c r="A7" s="51" t="s">
        <v>7</v>
      </c>
      <c r="B7" s="51" t="s">
        <v>8</v>
      </c>
      <c r="C7" s="51" t="s">
        <v>36</v>
      </c>
      <c r="D7" s="59" t="s">
        <v>10</v>
      </c>
      <c r="E7" s="60" t="s">
        <v>9</v>
      </c>
      <c r="F7" s="55" t="s">
        <v>7</v>
      </c>
      <c r="G7" s="55" t="s">
        <v>8</v>
      </c>
      <c r="H7" s="55" t="s">
        <v>36</v>
      </c>
      <c r="I7" s="64" t="s">
        <v>10</v>
      </c>
      <c r="J7" s="65" t="s">
        <v>9</v>
      </c>
      <c r="K7" s="51" t="s">
        <v>7</v>
      </c>
      <c r="L7" s="51" t="s">
        <v>8</v>
      </c>
      <c r="M7" s="51" t="s">
        <v>36</v>
      </c>
      <c r="N7" s="59" t="s">
        <v>10</v>
      </c>
      <c r="O7" s="60" t="s">
        <v>9</v>
      </c>
      <c r="P7" s="55" t="s">
        <v>7</v>
      </c>
      <c r="Q7" s="55" t="s">
        <v>8</v>
      </c>
      <c r="R7" s="55" t="s">
        <v>36</v>
      </c>
      <c r="S7" s="64" t="s">
        <v>10</v>
      </c>
      <c r="T7" s="65" t="s">
        <v>9</v>
      </c>
      <c r="U7" s="51" t="s">
        <v>7</v>
      </c>
      <c r="V7" s="51" t="s">
        <v>8</v>
      </c>
      <c r="W7" s="51" t="s">
        <v>36</v>
      </c>
      <c r="X7" s="59" t="s">
        <v>10</v>
      </c>
      <c r="Y7" s="60" t="s">
        <v>9</v>
      </c>
      <c r="AG7" s="51" t="s">
        <v>7</v>
      </c>
      <c r="AH7" s="51" t="s">
        <v>8</v>
      </c>
      <c r="AI7" s="51" t="s">
        <v>36</v>
      </c>
      <c r="AJ7" s="59" t="s">
        <v>10</v>
      </c>
      <c r="AK7" s="60" t="s">
        <v>9</v>
      </c>
      <c r="AL7" s="55" t="s">
        <v>7</v>
      </c>
      <c r="AM7" s="55" t="s">
        <v>8</v>
      </c>
      <c r="AN7" s="55" t="s">
        <v>36</v>
      </c>
      <c r="AO7" s="64" t="s">
        <v>10</v>
      </c>
      <c r="AP7" s="65" t="s">
        <v>9</v>
      </c>
      <c r="AQ7" s="51" t="s">
        <v>7</v>
      </c>
      <c r="AR7" s="51" t="s">
        <v>8</v>
      </c>
      <c r="AS7" s="51" t="s">
        <v>36</v>
      </c>
      <c r="AT7" s="59" t="s">
        <v>10</v>
      </c>
      <c r="AU7" s="60" t="s">
        <v>9</v>
      </c>
      <c r="AV7" s="55" t="s">
        <v>7</v>
      </c>
      <c r="AW7" s="55" t="s">
        <v>8</v>
      </c>
      <c r="AX7" s="55" t="s">
        <v>36</v>
      </c>
      <c r="AY7" s="64" t="s">
        <v>10</v>
      </c>
      <c r="AZ7" s="65" t="s">
        <v>9</v>
      </c>
      <c r="BA7" s="51" t="s">
        <v>7</v>
      </c>
      <c r="BB7" s="51" t="s">
        <v>8</v>
      </c>
      <c r="BC7" s="51" t="s">
        <v>36</v>
      </c>
      <c r="BD7" s="59" t="s">
        <v>10</v>
      </c>
      <c r="BE7" s="60" t="s">
        <v>9</v>
      </c>
    </row>
    <row r="8" spans="1:57" ht="16.5" thickTop="1" thickBot="1" x14ac:dyDescent="0.3">
      <c r="A8" s="92">
        <v>21.712222222222223</v>
      </c>
      <c r="B8" s="88">
        <v>2.7633333333333332</v>
      </c>
      <c r="C8" s="89">
        <v>18.948888888888892</v>
      </c>
      <c r="D8" s="88">
        <v>1.4444444444444444</v>
      </c>
      <c r="E8" s="90">
        <v>6.333333333333333</v>
      </c>
      <c r="F8" s="91">
        <v>26.587777777777781</v>
      </c>
      <c r="G8" s="88">
        <v>10.512222222222221</v>
      </c>
      <c r="H8" s="88">
        <v>16.075555555555557</v>
      </c>
      <c r="I8" s="88">
        <v>3.1111111111111112</v>
      </c>
      <c r="J8" s="90">
        <v>7.5555555555555554</v>
      </c>
      <c r="K8" s="91">
        <v>29.117777777777778</v>
      </c>
      <c r="L8" s="88">
        <v>10.777777777777777</v>
      </c>
      <c r="M8" s="88">
        <v>18.34</v>
      </c>
      <c r="N8" s="88">
        <v>1.6666666666666667</v>
      </c>
      <c r="O8" s="90">
        <v>6</v>
      </c>
      <c r="P8" s="91">
        <v>21.545555555555556</v>
      </c>
      <c r="Q8" s="88">
        <v>5.5622222222222222</v>
      </c>
      <c r="R8" s="88">
        <v>15.983333333333333</v>
      </c>
      <c r="S8" s="88">
        <v>2</v>
      </c>
      <c r="T8" s="90">
        <v>5.666666666666667</v>
      </c>
      <c r="U8" s="91">
        <v>25.224444444444444</v>
      </c>
      <c r="V8" s="88">
        <v>9.3888888888888893</v>
      </c>
      <c r="W8" s="88">
        <v>15.835555555555556</v>
      </c>
      <c r="X8" s="88">
        <v>1.6666666666666667</v>
      </c>
      <c r="Y8" s="90">
        <v>5.8888888888888893</v>
      </c>
      <c r="Z8" s="100">
        <v>1</v>
      </c>
      <c r="AG8" s="53">
        <v>0.92016442708640789</v>
      </c>
      <c r="AH8" s="52">
        <v>6.1047358358078514E-2</v>
      </c>
      <c r="AI8" s="75">
        <v>0.91984189121531434</v>
      </c>
      <c r="AJ8" s="52">
        <v>0.41380396603306474</v>
      </c>
      <c r="AK8" s="78">
        <v>0.93910441575375259</v>
      </c>
      <c r="AL8" s="56">
        <v>1.0142384134607043</v>
      </c>
      <c r="AM8" s="52">
        <v>0.99572607337457519</v>
      </c>
      <c r="AN8" s="52">
        <v>1.0187182381011306</v>
      </c>
      <c r="AO8" s="52">
        <v>0.46767771054944723</v>
      </c>
      <c r="AP8" s="78">
        <v>0.95188428423429039</v>
      </c>
      <c r="AQ8" s="56">
        <v>1.3981610342400321</v>
      </c>
      <c r="AR8" s="52">
        <v>0.36345912681871051</v>
      </c>
      <c r="AS8" s="52">
        <v>1.4398679749226904</v>
      </c>
      <c r="AT8" s="52">
        <v>0.62519435376951837</v>
      </c>
      <c r="AU8" s="78">
        <v>0.93488361493563799</v>
      </c>
      <c r="AV8" s="56">
        <v>1.1861438498866117</v>
      </c>
      <c r="AW8" s="52">
        <v>0.7545318274972419</v>
      </c>
      <c r="AX8" s="52">
        <v>1.1766654753842352</v>
      </c>
      <c r="AY8" s="52">
        <v>0.48549177170732344</v>
      </c>
      <c r="AZ8" s="78">
        <v>0.6865890479690393</v>
      </c>
      <c r="BA8" s="56">
        <v>1.0703076750323492</v>
      </c>
      <c r="BB8" s="52">
        <v>0.67879260751895576</v>
      </c>
      <c r="BC8" s="52">
        <v>0.99214903734537407</v>
      </c>
      <c r="BD8" s="52">
        <v>0.48549177170732338</v>
      </c>
      <c r="BE8" s="78">
        <v>0.7387467372439418</v>
      </c>
    </row>
    <row r="9" spans="1:57" ht="15.75" thickTop="1" x14ac:dyDescent="0.25">
      <c r="A9" s="92">
        <v>13.083333333333334</v>
      </c>
      <c r="B9" s="88">
        <v>2.7811111111111111</v>
      </c>
      <c r="C9" s="89">
        <v>10.30222222222222</v>
      </c>
      <c r="D9" s="88">
        <v>1</v>
      </c>
      <c r="E9" s="90">
        <v>3.7777777777777777</v>
      </c>
      <c r="F9" s="91">
        <v>18.155555555555551</v>
      </c>
      <c r="G9" s="88">
        <v>5.97</v>
      </c>
      <c r="H9" s="88">
        <v>12.185555555555556</v>
      </c>
      <c r="I9" s="88">
        <v>2.2222222222222223</v>
      </c>
      <c r="J9" s="90">
        <v>6</v>
      </c>
      <c r="K9" s="91">
        <v>22.84888888888889</v>
      </c>
      <c r="L9" s="88">
        <v>11.013333333333334</v>
      </c>
      <c r="M9" s="88">
        <v>11.835555555555553</v>
      </c>
      <c r="N9" s="88">
        <v>1.1111111111111112</v>
      </c>
      <c r="O9" s="90">
        <v>5</v>
      </c>
      <c r="P9" s="91">
        <v>14.709999999999999</v>
      </c>
      <c r="Q9" s="88">
        <v>3.7566666666666668</v>
      </c>
      <c r="R9" s="88">
        <v>10.953333333333331</v>
      </c>
      <c r="S9" s="88">
        <v>1.1111111111111112</v>
      </c>
      <c r="T9" s="90">
        <v>3.7777777777777777</v>
      </c>
      <c r="U9" s="91">
        <v>28.402222222222221</v>
      </c>
      <c r="V9" s="88">
        <v>7.0255555555555551</v>
      </c>
      <c r="W9" s="88">
        <v>21.376666666666665</v>
      </c>
      <c r="X9" s="88">
        <v>1.1111111111111112</v>
      </c>
      <c r="Y9" s="90">
        <v>4.5555555555555554</v>
      </c>
      <c r="Z9" s="100">
        <v>1</v>
      </c>
      <c r="AG9" s="53">
        <v>0.86939336206019802</v>
      </c>
      <c r="AH9" s="52">
        <v>6.1714641700513752E-2</v>
      </c>
      <c r="AI9" s="75">
        <v>0.86836740081639463</v>
      </c>
      <c r="AJ9" s="52">
        <v>0</v>
      </c>
      <c r="AK9" s="78">
        <v>0.39640237166757369</v>
      </c>
      <c r="AL9" s="56">
        <v>1.0129855307848177</v>
      </c>
      <c r="AM9" s="52">
        <v>5.9460355750136154E-2</v>
      </c>
      <c r="AN9" s="52">
        <v>1.0122659113877315</v>
      </c>
      <c r="AO9" s="52">
        <v>0.32238940337794486</v>
      </c>
      <c r="AP9" s="78">
        <v>0.85233981325336372</v>
      </c>
      <c r="AQ9" s="56">
        <v>1.2068941376403757</v>
      </c>
      <c r="AR9" s="52">
        <v>6.9707435607958917E-2</v>
      </c>
      <c r="AS9" s="52">
        <v>1.2064409147825708</v>
      </c>
      <c r="AT9" s="52">
        <v>0.28029880508457156</v>
      </c>
      <c r="AU9" s="78">
        <v>0.83499502320576513</v>
      </c>
      <c r="AV9" s="56">
        <v>0.9085257759002604</v>
      </c>
      <c r="AW9" s="52">
        <v>6.7560007740351508E-2</v>
      </c>
      <c r="AX9" s="52">
        <v>0.90933912770852443</v>
      </c>
      <c r="AY9" s="52">
        <v>0.28029880508457156</v>
      </c>
      <c r="AZ9" s="78">
        <v>0.50754360774594487</v>
      </c>
      <c r="BA9" s="56">
        <v>2.444460280141322</v>
      </c>
      <c r="BB9" s="52">
        <v>6.4041703123462676E-2</v>
      </c>
      <c r="BC9" s="52">
        <v>2.4447640061889557</v>
      </c>
      <c r="BD9" s="52">
        <v>0.28029880508457156</v>
      </c>
      <c r="BE9" s="78">
        <v>0.64041703123462623</v>
      </c>
    </row>
    <row r="10" spans="1:57" ht="15.75" thickBot="1" x14ac:dyDescent="0.3">
      <c r="A10" s="51" t="s">
        <v>7</v>
      </c>
      <c r="B10" s="51" t="s">
        <v>8</v>
      </c>
      <c r="C10" s="51" t="s">
        <v>36</v>
      </c>
      <c r="D10" s="59" t="s">
        <v>10</v>
      </c>
      <c r="E10" s="60" t="s">
        <v>9</v>
      </c>
      <c r="F10" s="55" t="s">
        <v>7</v>
      </c>
      <c r="G10" s="55" t="s">
        <v>8</v>
      </c>
      <c r="H10" s="55" t="s">
        <v>36</v>
      </c>
      <c r="I10" s="64" t="s">
        <v>10</v>
      </c>
      <c r="J10" s="65" t="s">
        <v>9</v>
      </c>
      <c r="K10" s="51" t="s">
        <v>7</v>
      </c>
      <c r="L10" s="51" t="s">
        <v>8</v>
      </c>
      <c r="M10" s="51" t="s">
        <v>36</v>
      </c>
      <c r="N10" s="59" t="s">
        <v>10</v>
      </c>
      <c r="O10" s="60" t="s">
        <v>9</v>
      </c>
      <c r="P10" s="55" t="s">
        <v>7</v>
      </c>
      <c r="Q10" s="55" t="s">
        <v>8</v>
      </c>
      <c r="R10" s="55" t="s">
        <v>36</v>
      </c>
      <c r="S10" s="64" t="s">
        <v>10</v>
      </c>
      <c r="T10" s="65" t="s">
        <v>9</v>
      </c>
      <c r="U10" s="51" t="s">
        <v>7</v>
      </c>
      <c r="V10" s="51" t="s">
        <v>8</v>
      </c>
      <c r="W10" s="51" t="s">
        <v>36</v>
      </c>
      <c r="X10" s="59" t="s">
        <v>10</v>
      </c>
      <c r="Y10" s="60" t="s">
        <v>9</v>
      </c>
      <c r="AG10" s="51" t="s">
        <v>7</v>
      </c>
      <c r="AH10" s="51" t="s">
        <v>8</v>
      </c>
      <c r="AI10" s="51" t="s">
        <v>36</v>
      </c>
      <c r="AJ10" s="59" t="s">
        <v>10</v>
      </c>
      <c r="AK10" s="60" t="s">
        <v>9</v>
      </c>
      <c r="AL10" s="55" t="s">
        <v>7</v>
      </c>
      <c r="AM10" s="55" t="s">
        <v>8</v>
      </c>
      <c r="AN10" s="55" t="s">
        <v>36</v>
      </c>
      <c r="AO10" s="64" t="s">
        <v>10</v>
      </c>
      <c r="AP10" s="65" t="s">
        <v>9</v>
      </c>
      <c r="AQ10" s="51" t="s">
        <v>7</v>
      </c>
      <c r="AR10" s="51" t="s">
        <v>8</v>
      </c>
      <c r="AS10" s="51" t="s">
        <v>36</v>
      </c>
      <c r="AT10" s="59" t="s">
        <v>10</v>
      </c>
      <c r="AU10" s="60" t="s">
        <v>9</v>
      </c>
      <c r="AV10" s="55" t="s">
        <v>7</v>
      </c>
      <c r="AW10" s="55" t="s">
        <v>8</v>
      </c>
      <c r="AX10" s="55" t="s">
        <v>36</v>
      </c>
      <c r="AY10" s="64" t="s">
        <v>10</v>
      </c>
      <c r="AZ10" s="65" t="s">
        <v>9</v>
      </c>
      <c r="BA10" s="51" t="s">
        <v>7</v>
      </c>
      <c r="BB10" s="51" t="s">
        <v>8</v>
      </c>
      <c r="BC10" s="51" t="s">
        <v>36</v>
      </c>
      <c r="BD10" s="59" t="s">
        <v>10</v>
      </c>
      <c r="BE10" s="60" t="s">
        <v>9</v>
      </c>
    </row>
    <row r="11" spans="1:57" ht="16.5" thickTop="1" thickBot="1" x14ac:dyDescent="0.3">
      <c r="A11" s="92">
        <v>20.917499999999997</v>
      </c>
      <c r="B11" s="88">
        <v>3.3137500000000002</v>
      </c>
      <c r="C11" s="89">
        <v>17.603750000000002</v>
      </c>
      <c r="D11" s="88">
        <v>3.5</v>
      </c>
      <c r="E11" s="90">
        <v>9.875</v>
      </c>
      <c r="F11" s="91">
        <v>25.287499999999998</v>
      </c>
      <c r="G11" s="88">
        <v>10.48</v>
      </c>
      <c r="H11" s="88">
        <v>14.807499999999999</v>
      </c>
      <c r="I11" s="88">
        <v>5.25</v>
      </c>
      <c r="J11" s="90">
        <v>12.125</v>
      </c>
      <c r="K11" s="91">
        <v>31.017499999999998</v>
      </c>
      <c r="L11" s="88">
        <v>11.74375</v>
      </c>
      <c r="M11" s="88">
        <v>19.27375</v>
      </c>
      <c r="N11" s="88">
        <v>4.25</v>
      </c>
      <c r="O11" s="90">
        <v>11.5</v>
      </c>
      <c r="P11" s="91">
        <v>19.691249999999997</v>
      </c>
      <c r="Q11" s="88">
        <v>5.9375</v>
      </c>
      <c r="R11" s="88">
        <v>13.75375</v>
      </c>
      <c r="S11" s="88">
        <v>2.875</v>
      </c>
      <c r="T11" s="90">
        <v>8.375</v>
      </c>
      <c r="U11" s="91">
        <v>29.958749999999998</v>
      </c>
      <c r="V11" s="88">
        <v>12.640000000000002</v>
      </c>
      <c r="W11" s="88">
        <v>17.318749999999998</v>
      </c>
      <c r="X11" s="88">
        <v>6.5</v>
      </c>
      <c r="Y11" s="90">
        <v>11.25</v>
      </c>
      <c r="Z11" s="100">
        <v>2</v>
      </c>
      <c r="AG11" s="53">
        <v>1.0826704460997412</v>
      </c>
      <c r="AH11" s="52">
        <v>0.60050561324167429</v>
      </c>
      <c r="AI11" s="75">
        <v>1.0630909732765526</v>
      </c>
      <c r="AJ11" s="52">
        <v>0.73814793093429742</v>
      </c>
      <c r="AK11" s="78">
        <v>1.0278661605596131</v>
      </c>
      <c r="AL11" s="56">
        <v>1.2246631603992932</v>
      </c>
      <c r="AM11" s="52">
        <v>0.84808982035236402</v>
      </c>
      <c r="AN11" s="52">
        <v>1.4114000559062088</v>
      </c>
      <c r="AO11" s="52">
        <v>0.52194940748246099</v>
      </c>
      <c r="AP11" s="78">
        <v>0.98578369221733342</v>
      </c>
      <c r="AQ11" s="56">
        <v>0.69136006233940295</v>
      </c>
      <c r="AR11" s="52">
        <v>0.83962030253247855</v>
      </c>
      <c r="AS11" s="52">
        <v>0.98781905816767679</v>
      </c>
      <c r="AT11" s="52">
        <v>0.81146679510211395</v>
      </c>
      <c r="AU11" s="78">
        <v>1.1750192028849604</v>
      </c>
      <c r="AV11" s="56">
        <v>0.94483911003565946</v>
      </c>
      <c r="AW11" s="52">
        <v>0.83950334314970532</v>
      </c>
      <c r="AX11" s="52">
        <v>0.8881577683319829</v>
      </c>
      <c r="AY11" s="52">
        <v>0.65018625356673476</v>
      </c>
      <c r="AZ11" s="78">
        <v>0.93985683833704725</v>
      </c>
      <c r="BA11" s="56">
        <v>1.2575124907208524</v>
      </c>
      <c r="BB11" s="52">
        <v>1.054651605162209</v>
      </c>
      <c r="BC11" s="52">
        <v>0.96119543847787814</v>
      </c>
      <c r="BD11" s="52">
        <v>0.67133740357066252</v>
      </c>
      <c r="BE11" s="78">
        <v>0.74532687532533293</v>
      </c>
    </row>
    <row r="12" spans="1:57" ht="15.75" thickTop="1" x14ac:dyDescent="0.25">
      <c r="A12" s="92">
        <v>12.0025</v>
      </c>
      <c r="B12" s="88">
        <v>2.7749999999999995</v>
      </c>
      <c r="C12" s="89">
        <v>9.2275000000000009</v>
      </c>
      <c r="D12" s="88">
        <v>1.5</v>
      </c>
      <c r="E12" s="90">
        <v>6.625</v>
      </c>
      <c r="F12" s="91">
        <v>16.610000000000003</v>
      </c>
      <c r="G12" s="88">
        <v>7.3024999999999993</v>
      </c>
      <c r="H12" s="88">
        <v>9.3074999999999992</v>
      </c>
      <c r="I12" s="88">
        <v>5</v>
      </c>
      <c r="J12" s="90">
        <v>9.125</v>
      </c>
      <c r="K12" s="91">
        <v>20.239999999999998</v>
      </c>
      <c r="L12" s="88">
        <v>11.061249999999999</v>
      </c>
      <c r="M12" s="88">
        <v>9.1787500000000009</v>
      </c>
      <c r="N12" s="88">
        <v>1.5</v>
      </c>
      <c r="O12" s="90">
        <v>6</v>
      </c>
      <c r="P12" s="91">
        <v>16.3325</v>
      </c>
      <c r="Q12" s="88">
        <v>3.7662499999999999</v>
      </c>
      <c r="R12" s="88">
        <v>12.56625</v>
      </c>
      <c r="S12" s="88">
        <v>1.5</v>
      </c>
      <c r="T12" s="90">
        <v>6.125</v>
      </c>
      <c r="U12" s="91">
        <v>22.053750000000001</v>
      </c>
      <c r="V12" s="88">
        <v>7.0312499999999991</v>
      </c>
      <c r="W12" s="88">
        <v>15.022500000000003</v>
      </c>
      <c r="X12" s="88">
        <v>3.125</v>
      </c>
      <c r="Y12" s="90">
        <v>7.375</v>
      </c>
      <c r="Z12" s="100">
        <v>2</v>
      </c>
      <c r="AG12" s="53">
        <v>0.93614309396818296</v>
      </c>
      <c r="AH12" s="52">
        <v>6.2871671484146893E-2</v>
      </c>
      <c r="AI12" s="75">
        <v>0.9354662435531379</v>
      </c>
      <c r="AJ12" s="52">
        <v>0.46530242955104978</v>
      </c>
      <c r="AK12" s="78">
        <v>0.61130650922587004</v>
      </c>
      <c r="AL12" s="56">
        <v>1.0024084724116307</v>
      </c>
      <c r="AM12" s="52">
        <v>0.93681942964735221</v>
      </c>
      <c r="AN12" s="52">
        <v>0.95082755104486183</v>
      </c>
      <c r="AO12" s="52">
        <v>0.81328828084889293</v>
      </c>
      <c r="AP12" s="78">
        <v>0.86864465072209029</v>
      </c>
      <c r="AQ12" s="56">
        <v>0.93541530119645977</v>
      </c>
      <c r="AR12" s="52">
        <v>9.5590897570105388E-2</v>
      </c>
      <c r="AS12" s="52">
        <v>0.93495796848708923</v>
      </c>
      <c r="AT12" s="52">
        <v>0.57508165844780157</v>
      </c>
      <c r="AU12" s="78">
        <v>0.84089641525371461</v>
      </c>
      <c r="AV12" s="56">
        <v>1.174011375426397</v>
      </c>
      <c r="AW12" s="52">
        <v>7.172446765477411E-2</v>
      </c>
      <c r="AX12" s="52">
        <v>1.1722158522530237</v>
      </c>
      <c r="AY12" s="52">
        <v>0.46530242955104978</v>
      </c>
      <c r="AZ12" s="78">
        <v>0.74236093160075267</v>
      </c>
      <c r="BA12" s="56">
        <v>1.5404480002574368</v>
      </c>
      <c r="BB12" s="52">
        <v>4.4176485538117878E-2</v>
      </c>
      <c r="BC12" s="52">
        <v>1.5403209068600976</v>
      </c>
      <c r="BD12" s="52">
        <v>0.61968252273453772</v>
      </c>
      <c r="BE12" s="78">
        <v>0.7820323241157644</v>
      </c>
    </row>
    <row r="15" spans="1:57" x14ac:dyDescent="0.25">
      <c r="A15" s="104"/>
      <c r="B15" s="105" t="s">
        <v>59</v>
      </c>
      <c r="C15" s="104"/>
      <c r="D15" s="104"/>
      <c r="E15" s="103">
        <f>E2-D2-$Z$2</f>
        <v>1.0000000000000004</v>
      </c>
      <c r="F15" s="103"/>
      <c r="G15" s="103"/>
      <c r="H15" s="103"/>
      <c r="I15" s="103"/>
      <c r="J15" s="103">
        <f t="shared" ref="J15:Y15" si="0">J2-I2-$Z$2</f>
        <v>0.19999999999999973</v>
      </c>
      <c r="K15" s="103"/>
      <c r="L15" s="103"/>
      <c r="M15" s="103"/>
      <c r="N15" s="103"/>
      <c r="O15" s="103">
        <f t="shared" si="0"/>
        <v>1.8000000000000003</v>
      </c>
      <c r="P15" s="103"/>
      <c r="Q15" s="103"/>
      <c r="R15" s="103"/>
      <c r="S15" s="103"/>
      <c r="T15" s="103">
        <f t="shared" si="0"/>
        <v>0</v>
      </c>
      <c r="U15" s="103"/>
      <c r="V15" s="103"/>
      <c r="W15" s="103"/>
      <c r="X15" s="103"/>
      <c r="Y15" s="103">
        <f t="shared" si="0"/>
        <v>0.60000000000000053</v>
      </c>
      <c r="Z15" s="41">
        <f>SUM(E15:Y15)</f>
        <v>3.600000000000001</v>
      </c>
      <c r="AB15" t="s">
        <v>88</v>
      </c>
      <c r="AF15" t="s">
        <v>90</v>
      </c>
    </row>
    <row r="16" spans="1:57" x14ac:dyDescent="0.25">
      <c r="A16" s="104"/>
      <c r="B16" s="102"/>
      <c r="C16" s="104"/>
      <c r="D16" s="104"/>
      <c r="E16" s="103">
        <f>E3-D3-$Z$2</f>
        <v>0.60000000000000009</v>
      </c>
      <c r="F16" s="103"/>
      <c r="G16" s="103"/>
      <c r="H16" s="103"/>
      <c r="I16" s="103"/>
      <c r="J16" s="103">
        <f t="shared" ref="J16:Y16" si="1">J3-I3-$Z$2</f>
        <v>0.60000000000000009</v>
      </c>
      <c r="K16" s="103"/>
      <c r="L16" s="103"/>
      <c r="M16" s="103"/>
      <c r="N16" s="103"/>
      <c r="O16" s="103">
        <f t="shared" si="1"/>
        <v>0.60000000000000009</v>
      </c>
      <c r="P16" s="103"/>
      <c r="Q16" s="103"/>
      <c r="R16" s="103"/>
      <c r="S16" s="103"/>
      <c r="T16" s="103">
        <f t="shared" si="1"/>
        <v>0.60000000000000009</v>
      </c>
      <c r="U16" s="103"/>
      <c r="V16" s="103"/>
      <c r="W16" s="103"/>
      <c r="X16" s="103"/>
      <c r="Y16" s="103">
        <f t="shared" si="1"/>
        <v>0.20000000000000018</v>
      </c>
      <c r="Z16" s="41">
        <f t="shared" ref="Z16:Z25" si="2">SUM(E16:Y16)</f>
        <v>2.6000000000000005</v>
      </c>
      <c r="AB16" s="161" t="s">
        <v>86</v>
      </c>
      <c r="AC16" s="170" t="s">
        <v>87</v>
      </c>
      <c r="AD16" s="168" t="s">
        <v>84</v>
      </c>
      <c r="AE16" s="169" t="s">
        <v>85</v>
      </c>
    </row>
    <row r="17" spans="1:83" x14ac:dyDescent="0.25">
      <c r="A17" s="104"/>
      <c r="B17" s="102"/>
      <c r="C17" s="104"/>
      <c r="D17" s="104"/>
      <c r="E17" s="103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41"/>
      <c r="AB17" s="163">
        <v>1</v>
      </c>
      <c r="AC17" s="166" t="s">
        <v>7</v>
      </c>
      <c r="AD17" s="171">
        <v>8.76</v>
      </c>
      <c r="AE17" s="172">
        <v>9.65</v>
      </c>
    </row>
    <row r="18" spans="1:83" x14ac:dyDescent="0.25">
      <c r="A18" s="104"/>
      <c r="B18" s="102"/>
      <c r="C18" s="104"/>
      <c r="D18" s="104"/>
      <c r="E18" s="103">
        <f t="shared" ref="E18:T22" si="3">E5-D5-$Z$2</f>
        <v>3.75</v>
      </c>
      <c r="F18" s="103"/>
      <c r="G18" s="103"/>
      <c r="H18" s="103"/>
      <c r="I18" s="103"/>
      <c r="J18" s="103">
        <f t="shared" ref="J18:Y18" si="4">J5-I5-$Z$5</f>
        <v>1.3333333333333339</v>
      </c>
      <c r="K18" s="103"/>
      <c r="L18" s="103"/>
      <c r="M18" s="103"/>
      <c r="N18" s="103"/>
      <c r="O18" s="103">
        <f t="shared" si="4"/>
        <v>1.1666666666666661</v>
      </c>
      <c r="P18" s="103"/>
      <c r="Q18" s="103"/>
      <c r="R18" s="103"/>
      <c r="S18" s="103"/>
      <c r="T18" s="103">
        <f t="shared" si="4"/>
        <v>0.83333333333333348</v>
      </c>
      <c r="U18" s="103"/>
      <c r="V18" s="103"/>
      <c r="W18" s="103"/>
      <c r="X18" s="103"/>
      <c r="Y18" s="103">
        <f t="shared" si="4"/>
        <v>1.6666666666666661</v>
      </c>
      <c r="Z18" s="41">
        <f t="shared" si="2"/>
        <v>8.75</v>
      </c>
      <c r="AB18" s="164"/>
      <c r="AC18" s="162" t="s">
        <v>8</v>
      </c>
      <c r="AD18" s="106">
        <v>2.74</v>
      </c>
      <c r="AE18" s="173">
        <v>2.76</v>
      </c>
    </row>
    <row r="19" spans="1:83" x14ac:dyDescent="0.25">
      <c r="A19" s="104"/>
      <c r="B19" s="102"/>
      <c r="C19" s="104"/>
      <c r="D19" s="104"/>
      <c r="E19" s="103">
        <f t="shared" si="3"/>
        <v>1.8333333333333335</v>
      </c>
      <c r="F19" s="103"/>
      <c r="G19" s="103"/>
      <c r="H19" s="103"/>
      <c r="I19" s="103"/>
      <c r="J19" s="103">
        <f t="shared" ref="J19:Y19" si="5">J6-I6-$Z$5</f>
        <v>0.5</v>
      </c>
      <c r="K19" s="103"/>
      <c r="L19" s="103"/>
      <c r="M19" s="103"/>
      <c r="N19" s="103"/>
      <c r="O19" s="103">
        <f t="shared" si="5"/>
        <v>0.83333333333333393</v>
      </c>
      <c r="P19" s="103"/>
      <c r="Q19" s="103"/>
      <c r="R19" s="103"/>
      <c r="S19" s="103"/>
      <c r="T19" s="103">
        <f t="shared" si="5"/>
        <v>1</v>
      </c>
      <c r="U19" s="103"/>
      <c r="V19" s="103"/>
      <c r="W19" s="103"/>
      <c r="X19" s="103"/>
      <c r="Y19" s="103">
        <f t="shared" si="5"/>
        <v>1.083333333333333</v>
      </c>
      <c r="Z19" s="41">
        <f t="shared" si="2"/>
        <v>5.2500000000000009</v>
      </c>
      <c r="AB19" s="164"/>
      <c r="AC19" s="162" t="s">
        <v>36</v>
      </c>
      <c r="AD19" s="174">
        <v>5.0199999999999996</v>
      </c>
      <c r="AE19" s="175">
        <v>5.89</v>
      </c>
    </row>
    <row r="20" spans="1:83" x14ac:dyDescent="0.25">
      <c r="A20" s="104"/>
      <c r="B20" s="102"/>
      <c r="C20" s="104"/>
      <c r="D20" s="104"/>
      <c r="E20" s="103"/>
      <c r="F20" s="104"/>
      <c r="G20" s="104"/>
      <c r="H20" s="104"/>
      <c r="I20" s="104"/>
      <c r="J20" s="103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41"/>
      <c r="AB20" s="164"/>
      <c r="AC20" s="162" t="s">
        <v>10</v>
      </c>
      <c r="AD20" s="176">
        <v>1</v>
      </c>
      <c r="AE20" s="177">
        <v>1</v>
      </c>
    </row>
    <row r="21" spans="1:83" x14ac:dyDescent="0.25">
      <c r="A21" s="104"/>
      <c r="B21" s="102"/>
      <c r="C21" s="104"/>
      <c r="D21" s="104"/>
      <c r="E21" s="103">
        <f t="shared" si="3"/>
        <v>2.8888888888888884</v>
      </c>
      <c r="F21" s="103"/>
      <c r="G21" s="103"/>
      <c r="H21" s="103"/>
      <c r="I21" s="103"/>
      <c r="J21" s="103">
        <f t="shared" si="3"/>
        <v>2.4444444444444446</v>
      </c>
      <c r="K21" s="103"/>
      <c r="L21" s="103"/>
      <c r="M21" s="103"/>
      <c r="N21" s="103"/>
      <c r="O21" s="103">
        <f t="shared" si="3"/>
        <v>2.333333333333333</v>
      </c>
      <c r="P21" s="103"/>
      <c r="Q21" s="103"/>
      <c r="R21" s="103"/>
      <c r="S21" s="103"/>
      <c r="T21" s="103">
        <f t="shared" si="3"/>
        <v>1.666666666666667</v>
      </c>
      <c r="U21" s="103"/>
      <c r="V21" s="103"/>
      <c r="W21" s="103"/>
      <c r="X21" s="103"/>
      <c r="Y21" s="103">
        <f t="shared" ref="J21:Y22" si="6">Y8-X8-$Z$2</f>
        <v>2.2222222222222223</v>
      </c>
      <c r="Z21" s="41">
        <f t="shared" si="2"/>
        <v>11.555555555555554</v>
      </c>
      <c r="AB21" s="165"/>
      <c r="AC21" s="167" t="s">
        <v>9</v>
      </c>
      <c r="AD21" s="178">
        <v>2</v>
      </c>
      <c r="AE21" s="179">
        <v>3</v>
      </c>
    </row>
    <row r="22" spans="1:83" x14ac:dyDescent="0.25">
      <c r="A22" s="104"/>
      <c r="B22" s="102"/>
      <c r="C22" s="104"/>
      <c r="D22" s="104"/>
      <c r="E22" s="103">
        <f t="shared" si="3"/>
        <v>0.77777777777777768</v>
      </c>
      <c r="F22" s="103"/>
      <c r="G22" s="103"/>
      <c r="H22" s="103"/>
      <c r="I22" s="103"/>
      <c r="J22" s="103">
        <f t="shared" si="6"/>
        <v>1.7777777777777777</v>
      </c>
      <c r="K22" s="103"/>
      <c r="L22" s="103"/>
      <c r="M22" s="103"/>
      <c r="N22" s="103"/>
      <c r="O22" s="103">
        <f t="shared" si="6"/>
        <v>1.8888888888888888</v>
      </c>
      <c r="P22" s="103"/>
      <c r="Q22" s="103"/>
      <c r="R22" s="103"/>
      <c r="S22" s="103"/>
      <c r="T22" s="103">
        <f t="shared" si="6"/>
        <v>0.66666666666666652</v>
      </c>
      <c r="U22" s="103"/>
      <c r="V22" s="103"/>
      <c r="W22" s="103"/>
      <c r="X22" s="103"/>
      <c r="Y22" s="103">
        <f t="shared" si="6"/>
        <v>1.4444444444444442</v>
      </c>
      <c r="Z22" s="41">
        <f t="shared" si="2"/>
        <v>6.5555555555555554</v>
      </c>
      <c r="AB22" s="164">
        <v>2</v>
      </c>
      <c r="AC22" s="162" t="s">
        <v>7</v>
      </c>
      <c r="AD22" s="106">
        <v>14.15</v>
      </c>
      <c r="AE22" s="173">
        <v>15.4</v>
      </c>
    </row>
    <row r="23" spans="1:83" x14ac:dyDescent="0.25">
      <c r="A23" s="104"/>
      <c r="B23" s="102"/>
      <c r="C23" s="104"/>
      <c r="D23" s="104"/>
      <c r="E23" s="103"/>
      <c r="F23" s="104"/>
      <c r="G23" s="104"/>
      <c r="H23" s="104"/>
      <c r="I23" s="104"/>
      <c r="J23" s="103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41"/>
      <c r="AB23" s="164"/>
      <c r="AC23" s="162" t="s">
        <v>8</v>
      </c>
      <c r="AD23" s="106">
        <v>5.97</v>
      </c>
      <c r="AE23" s="173">
        <v>5.99</v>
      </c>
      <c r="BB23" t="s">
        <v>83</v>
      </c>
    </row>
    <row r="24" spans="1:83" x14ac:dyDescent="0.25">
      <c r="A24" s="104"/>
      <c r="B24" s="102"/>
      <c r="C24" s="104"/>
      <c r="D24" s="104"/>
      <c r="E24" s="103">
        <f t="shared" ref="E24:E25" si="7">E11-D11-$Z$5</f>
        <v>3.375</v>
      </c>
      <c r="F24" s="103"/>
      <c r="G24" s="103"/>
      <c r="H24" s="103"/>
      <c r="I24" s="103"/>
      <c r="J24" s="103">
        <f t="shared" ref="J24:O24" si="8">J11-I11-$Z$5</f>
        <v>3.875</v>
      </c>
      <c r="K24" s="103"/>
      <c r="L24" s="103"/>
      <c r="M24" s="103"/>
      <c r="N24" s="103"/>
      <c r="O24" s="103">
        <f t="shared" si="8"/>
        <v>4.25</v>
      </c>
      <c r="P24" s="103"/>
      <c r="Q24" s="103"/>
      <c r="R24" s="103"/>
      <c r="S24" s="103"/>
      <c r="T24" s="103">
        <f t="shared" ref="T24:Y24" si="9">T11-S11-$Z$5</f>
        <v>2.5</v>
      </c>
      <c r="U24" s="103"/>
      <c r="V24" s="103"/>
      <c r="W24" s="103"/>
      <c r="X24" s="103"/>
      <c r="Y24" s="103">
        <f t="shared" si="9"/>
        <v>1.75</v>
      </c>
      <c r="Z24" s="41">
        <f t="shared" si="2"/>
        <v>15.75</v>
      </c>
      <c r="AB24" s="164"/>
      <c r="AC24" s="162" t="s">
        <v>36</v>
      </c>
      <c r="AD24" s="106">
        <v>7.18</v>
      </c>
      <c r="AE24" s="173">
        <v>8.41</v>
      </c>
      <c r="BB24" t="s">
        <v>81</v>
      </c>
    </row>
    <row r="25" spans="1:83" x14ac:dyDescent="0.25">
      <c r="A25" s="104"/>
      <c r="B25" s="102"/>
      <c r="C25" s="104"/>
      <c r="D25" s="104"/>
      <c r="E25" s="103">
        <f t="shared" si="7"/>
        <v>2.125</v>
      </c>
      <c r="F25" s="103"/>
      <c r="G25" s="103"/>
      <c r="H25" s="103"/>
      <c r="I25" s="103"/>
      <c r="J25" s="103">
        <f t="shared" ref="J25:O25" si="10">J12-I12-$Z$5</f>
        <v>1.125</v>
      </c>
      <c r="K25" s="103"/>
      <c r="L25" s="103"/>
      <c r="M25" s="103"/>
      <c r="N25" s="103"/>
      <c r="O25" s="103">
        <f t="shared" si="10"/>
        <v>1.5</v>
      </c>
      <c r="P25" s="103"/>
      <c r="Q25" s="103"/>
      <c r="R25" s="103"/>
      <c r="S25" s="103"/>
      <c r="T25" s="103">
        <f t="shared" ref="T25:Y25" si="11">T12-S12-$Z$5</f>
        <v>1.625</v>
      </c>
      <c r="U25" s="103"/>
      <c r="V25" s="103"/>
      <c r="W25" s="103"/>
      <c r="X25" s="103"/>
      <c r="Y25" s="103">
        <f t="shared" si="11"/>
        <v>1.25</v>
      </c>
      <c r="Z25" s="41">
        <f t="shared" si="2"/>
        <v>7.625</v>
      </c>
      <c r="AB25" s="164"/>
      <c r="AC25" s="162" t="s">
        <v>10</v>
      </c>
      <c r="AD25" s="176">
        <v>2</v>
      </c>
      <c r="AE25" s="177">
        <v>3</v>
      </c>
      <c r="BB25" t="s">
        <v>82</v>
      </c>
    </row>
    <row r="26" spans="1:83" x14ac:dyDescent="0.25">
      <c r="E26" s="41"/>
      <c r="J26" s="41"/>
      <c r="AB26" s="164"/>
      <c r="AC26" s="162" t="s">
        <v>9</v>
      </c>
      <c r="AD26" s="176">
        <v>3</v>
      </c>
      <c r="AE26" s="177">
        <v>5</v>
      </c>
      <c r="BC26">
        <v>10.76</v>
      </c>
      <c r="BD26">
        <v>2.74</v>
      </c>
      <c r="BE26">
        <v>0</v>
      </c>
      <c r="BF26">
        <v>1</v>
      </c>
      <c r="BG26">
        <v>3</v>
      </c>
      <c r="BH26">
        <v>16.149999999999999</v>
      </c>
      <c r="BI26">
        <v>5.97</v>
      </c>
      <c r="BJ26">
        <v>0</v>
      </c>
      <c r="BK26">
        <v>2</v>
      </c>
      <c r="BL26">
        <v>3</v>
      </c>
      <c r="BM26">
        <v>20.03</v>
      </c>
      <c r="BN26">
        <v>11.05</v>
      </c>
      <c r="BO26">
        <v>0</v>
      </c>
      <c r="BP26">
        <v>1</v>
      </c>
      <c r="BQ26">
        <v>3</v>
      </c>
      <c r="BR26">
        <v>12.23</v>
      </c>
      <c r="BS26">
        <v>3.74</v>
      </c>
      <c r="BT26">
        <v>0</v>
      </c>
      <c r="BU26">
        <v>1</v>
      </c>
      <c r="BV26">
        <v>3</v>
      </c>
      <c r="BW26">
        <v>15.22</v>
      </c>
      <c r="BX26">
        <v>7.01</v>
      </c>
      <c r="BY26">
        <v>0</v>
      </c>
      <c r="BZ26">
        <v>1</v>
      </c>
      <c r="CA26">
        <v>3</v>
      </c>
    </row>
    <row r="27" spans="1:83" x14ac:dyDescent="0.25">
      <c r="C27" t="s">
        <v>60</v>
      </c>
      <c r="E27" s="41"/>
      <c r="J27" s="41"/>
      <c r="N27" t="s">
        <v>61</v>
      </c>
      <c r="AB27" s="163">
        <v>3</v>
      </c>
      <c r="AC27" s="166" t="s">
        <v>7</v>
      </c>
      <c r="AD27" s="180">
        <v>18.03</v>
      </c>
      <c r="AE27" s="181">
        <v>19.239999999999998</v>
      </c>
      <c r="BC27" s="100">
        <v>11.65</v>
      </c>
      <c r="BD27" s="100">
        <v>2.76</v>
      </c>
      <c r="BE27" s="100">
        <v>0</v>
      </c>
      <c r="BF27" s="100">
        <v>1</v>
      </c>
      <c r="BG27" s="100">
        <v>4</v>
      </c>
      <c r="BH27" s="100">
        <v>17.399999999999999</v>
      </c>
      <c r="BI27" s="100">
        <v>5.99</v>
      </c>
      <c r="BJ27" s="100">
        <v>0</v>
      </c>
      <c r="BK27" s="100">
        <v>3</v>
      </c>
      <c r="BL27" s="100">
        <v>5</v>
      </c>
      <c r="BM27" s="100">
        <v>21.24</v>
      </c>
      <c r="BN27" s="100">
        <v>10.99</v>
      </c>
      <c r="BO27" s="100">
        <v>0</v>
      </c>
      <c r="BP27" s="100">
        <v>1</v>
      </c>
      <c r="BQ27" s="100">
        <v>4</v>
      </c>
      <c r="BR27" s="100">
        <v>15.31</v>
      </c>
      <c r="BS27" s="100">
        <v>3.77</v>
      </c>
      <c r="BT27" s="100">
        <v>0</v>
      </c>
      <c r="BU27" s="100">
        <v>1</v>
      </c>
      <c r="BV27" s="100">
        <v>4</v>
      </c>
      <c r="BW27" s="100">
        <v>18.260000000000002</v>
      </c>
      <c r="BX27" s="100">
        <v>7.01</v>
      </c>
      <c r="BY27" s="100">
        <v>0</v>
      </c>
      <c r="BZ27" s="100">
        <v>2</v>
      </c>
      <c r="CA27" s="100">
        <v>5</v>
      </c>
    </row>
    <row r="28" spans="1:83" x14ac:dyDescent="0.25">
      <c r="J28" s="41"/>
      <c r="AB28" s="164"/>
      <c r="AC28" s="162" t="s">
        <v>8</v>
      </c>
      <c r="AD28" s="106">
        <v>11.05</v>
      </c>
      <c r="AE28" s="173">
        <v>10.99</v>
      </c>
    </row>
    <row r="29" spans="1:83" x14ac:dyDescent="0.25">
      <c r="J29" s="41"/>
      <c r="AB29" s="164"/>
      <c r="AC29" s="162" t="s">
        <v>36</v>
      </c>
      <c r="AD29" s="106">
        <v>6.98</v>
      </c>
      <c r="AE29" s="173">
        <v>8.25</v>
      </c>
      <c r="BF29" s="142"/>
      <c r="BG29" s="147"/>
      <c r="BH29" s="148"/>
      <c r="BI29" s="148" t="s">
        <v>3</v>
      </c>
      <c r="BJ29" s="149"/>
      <c r="BK29" s="150"/>
      <c r="BL29" s="151"/>
      <c r="BM29" s="151"/>
      <c r="BN29" s="151" t="s">
        <v>4</v>
      </c>
      <c r="BO29" s="152"/>
      <c r="BP29" s="153"/>
      <c r="BQ29" s="148"/>
      <c r="BR29" s="148"/>
      <c r="BS29" s="148" t="s">
        <v>5</v>
      </c>
      <c r="BT29" s="149"/>
      <c r="BU29" s="150"/>
      <c r="BV29" s="151"/>
      <c r="BW29" s="151"/>
      <c r="BX29" s="151" t="s">
        <v>6</v>
      </c>
      <c r="BY29" s="152"/>
      <c r="BZ29" s="153"/>
      <c r="CA29" s="148"/>
      <c r="CB29" s="148"/>
      <c r="CC29" s="148" t="s">
        <v>35</v>
      </c>
      <c r="CD29" s="149"/>
      <c r="CE29" s="154"/>
    </row>
    <row r="30" spans="1:83" x14ac:dyDescent="0.25">
      <c r="AB30" s="164"/>
      <c r="AC30" s="162" t="s">
        <v>10</v>
      </c>
      <c r="AD30" s="176">
        <v>1</v>
      </c>
      <c r="AE30" s="177">
        <v>1</v>
      </c>
      <c r="BF30" s="142"/>
      <c r="BG30" s="182" t="s">
        <v>7</v>
      </c>
      <c r="BH30" s="183" t="s">
        <v>8</v>
      </c>
      <c r="BI30" s="183" t="s">
        <v>36</v>
      </c>
      <c r="BJ30" s="184" t="s">
        <v>10</v>
      </c>
      <c r="BK30" s="185" t="s">
        <v>9</v>
      </c>
      <c r="BL30" s="186" t="s">
        <v>7</v>
      </c>
      <c r="BM30" s="186" t="s">
        <v>8</v>
      </c>
      <c r="BN30" s="186" t="s">
        <v>36</v>
      </c>
      <c r="BO30" s="187" t="s">
        <v>10</v>
      </c>
      <c r="BP30" s="188" t="s">
        <v>9</v>
      </c>
      <c r="BQ30" s="183" t="s">
        <v>7</v>
      </c>
      <c r="BR30" s="183" t="s">
        <v>8</v>
      </c>
      <c r="BS30" s="183" t="s">
        <v>36</v>
      </c>
      <c r="BT30" s="184" t="s">
        <v>10</v>
      </c>
      <c r="BU30" s="185" t="s">
        <v>9</v>
      </c>
      <c r="BV30" s="186" t="s">
        <v>7</v>
      </c>
      <c r="BW30" s="186" t="s">
        <v>8</v>
      </c>
      <c r="BX30" s="186" t="s">
        <v>36</v>
      </c>
      <c r="BY30" s="187" t="s">
        <v>10</v>
      </c>
      <c r="BZ30" s="188" t="s">
        <v>9</v>
      </c>
      <c r="CA30" s="183" t="s">
        <v>7</v>
      </c>
      <c r="CB30" s="183" t="s">
        <v>8</v>
      </c>
      <c r="CC30" s="183" t="s">
        <v>36</v>
      </c>
      <c r="CD30" s="184" t="s">
        <v>10</v>
      </c>
      <c r="CE30" s="189" t="s">
        <v>9</v>
      </c>
    </row>
    <row r="31" spans="1:83" x14ac:dyDescent="0.25">
      <c r="AB31" s="165"/>
      <c r="AC31" s="167" t="s">
        <v>9</v>
      </c>
      <c r="AD31" s="178">
        <v>2</v>
      </c>
      <c r="AE31" s="179">
        <v>4</v>
      </c>
      <c r="BF31" s="143" t="s">
        <v>84</v>
      </c>
      <c r="BG31" s="193">
        <v>10.76</v>
      </c>
      <c r="BH31" s="145">
        <v>2.74</v>
      </c>
      <c r="BI31" s="146">
        <f>BG31-BH31</f>
        <v>8.02</v>
      </c>
      <c r="BJ31" s="145">
        <v>1</v>
      </c>
      <c r="BK31" s="194">
        <v>3</v>
      </c>
      <c r="BL31" s="145">
        <v>16.149999999999999</v>
      </c>
      <c r="BM31" s="145">
        <v>5.97</v>
      </c>
      <c r="BN31" s="191">
        <f>BL31-BM31</f>
        <v>10.18</v>
      </c>
      <c r="BO31" s="145">
        <v>2</v>
      </c>
      <c r="BP31" s="194">
        <v>3</v>
      </c>
      <c r="BQ31" s="145">
        <v>20.03</v>
      </c>
      <c r="BR31" s="145">
        <v>11.05</v>
      </c>
      <c r="BS31" s="145">
        <f>BQ31-BR31</f>
        <v>8.98</v>
      </c>
      <c r="BT31" s="191">
        <v>1</v>
      </c>
      <c r="BU31" s="195">
        <v>3</v>
      </c>
      <c r="BV31" s="191">
        <v>12.23</v>
      </c>
      <c r="BW31" s="145">
        <v>3.74</v>
      </c>
      <c r="BX31" s="194">
        <f>BV31-BW31</f>
        <v>8.49</v>
      </c>
      <c r="BY31" s="145">
        <v>1</v>
      </c>
      <c r="BZ31" s="190">
        <v>3</v>
      </c>
      <c r="CA31" s="191">
        <v>15.22</v>
      </c>
      <c r="CB31" s="191">
        <v>7.01</v>
      </c>
      <c r="CC31" s="145">
        <f>CA31-CB31</f>
        <v>8.2100000000000009</v>
      </c>
      <c r="CD31" s="145">
        <v>1</v>
      </c>
      <c r="CE31" s="191">
        <v>3</v>
      </c>
    </row>
    <row r="32" spans="1:83" x14ac:dyDescent="0.25">
      <c r="AB32" s="164">
        <v>4</v>
      </c>
      <c r="AC32" s="162" t="s">
        <v>7</v>
      </c>
      <c r="AD32" s="106">
        <v>10.23</v>
      </c>
      <c r="AE32" s="173">
        <v>13.31</v>
      </c>
      <c r="BF32" s="144" t="s">
        <v>85</v>
      </c>
      <c r="BG32" s="155">
        <v>11.65</v>
      </c>
      <c r="BH32" s="156">
        <v>2.76</v>
      </c>
      <c r="BI32" s="156">
        <v>8.89</v>
      </c>
      <c r="BJ32" s="158">
        <v>1</v>
      </c>
      <c r="BK32" s="157">
        <v>4</v>
      </c>
      <c r="BL32" s="159">
        <v>17.399999999999999</v>
      </c>
      <c r="BM32" s="160">
        <v>5.99</v>
      </c>
      <c r="BN32" s="156">
        <v>11.41</v>
      </c>
      <c r="BO32" s="159">
        <v>3</v>
      </c>
      <c r="BP32" s="157">
        <v>5</v>
      </c>
      <c r="BQ32" s="155">
        <v>21.24</v>
      </c>
      <c r="BR32" s="156">
        <v>10.99</v>
      </c>
      <c r="BS32" s="158">
        <v>10.25</v>
      </c>
      <c r="BT32" s="158">
        <v>1</v>
      </c>
      <c r="BU32" s="157">
        <v>4</v>
      </c>
      <c r="BV32" s="159">
        <v>15.31</v>
      </c>
      <c r="BW32" s="158">
        <v>3.77</v>
      </c>
      <c r="BX32" s="192">
        <v>11.54</v>
      </c>
      <c r="BY32" s="155">
        <v>1</v>
      </c>
      <c r="BZ32" s="156">
        <v>4</v>
      </c>
      <c r="CA32" s="159">
        <v>18.260000000000002</v>
      </c>
      <c r="CB32" s="158">
        <v>7.01</v>
      </c>
      <c r="CC32" s="158">
        <v>11.25</v>
      </c>
      <c r="CD32" s="160">
        <v>2</v>
      </c>
      <c r="CE32" s="160">
        <v>5</v>
      </c>
    </row>
    <row r="33" spans="28:54" x14ac:dyDescent="0.25">
      <c r="AB33" s="164"/>
      <c r="AC33" s="162" t="s">
        <v>8</v>
      </c>
      <c r="AD33" s="106">
        <v>3.74</v>
      </c>
      <c r="AE33" s="173">
        <v>3.77</v>
      </c>
    </row>
    <row r="34" spans="28:54" x14ac:dyDescent="0.25">
      <c r="AB34" s="164"/>
      <c r="AC34" s="162" t="s">
        <v>36</v>
      </c>
      <c r="AD34" s="106">
        <v>6.49</v>
      </c>
      <c r="AE34" s="173">
        <v>9.5399999999999991</v>
      </c>
    </row>
    <row r="35" spans="28:54" x14ac:dyDescent="0.25">
      <c r="AB35" s="164"/>
      <c r="AC35" s="162" t="s">
        <v>10</v>
      </c>
      <c r="AD35" s="176">
        <v>1</v>
      </c>
      <c r="AE35" s="177">
        <v>1</v>
      </c>
    </row>
    <row r="36" spans="28:54" x14ac:dyDescent="0.25">
      <c r="AB36" s="164"/>
      <c r="AC36" s="162" t="s">
        <v>9</v>
      </c>
      <c r="AD36" s="176">
        <v>2</v>
      </c>
      <c r="AE36" s="177">
        <v>4</v>
      </c>
    </row>
    <row r="37" spans="28:54" x14ac:dyDescent="0.25">
      <c r="AB37" s="163">
        <v>5</v>
      </c>
      <c r="AC37" s="166" t="s">
        <v>7</v>
      </c>
      <c r="AD37" s="180">
        <v>13.22</v>
      </c>
      <c r="AE37" s="181">
        <v>16.260000000000002</v>
      </c>
    </row>
    <row r="38" spans="28:54" x14ac:dyDescent="0.25">
      <c r="AB38" s="164"/>
      <c r="AC38" s="162" t="s">
        <v>8</v>
      </c>
      <c r="AD38" s="106">
        <v>7.01</v>
      </c>
      <c r="AE38" s="173">
        <v>7.01</v>
      </c>
    </row>
    <row r="39" spans="28:54" x14ac:dyDescent="0.25">
      <c r="AB39" s="164"/>
      <c r="AC39" s="162" t="s">
        <v>36</v>
      </c>
      <c r="AD39" s="106">
        <v>6.21</v>
      </c>
      <c r="AE39" s="173">
        <v>9.25</v>
      </c>
    </row>
    <row r="40" spans="28:54" x14ac:dyDescent="0.25">
      <c r="AB40" s="164"/>
      <c r="AC40" s="162" t="s">
        <v>10</v>
      </c>
      <c r="AD40" s="176">
        <v>1</v>
      </c>
      <c r="AE40" s="177">
        <v>2</v>
      </c>
    </row>
    <row r="41" spans="28:54" x14ac:dyDescent="0.25">
      <c r="AB41" s="165"/>
      <c r="AC41" s="167" t="s">
        <v>9</v>
      </c>
      <c r="AD41" s="178">
        <v>2</v>
      </c>
      <c r="AE41" s="179">
        <v>5</v>
      </c>
    </row>
    <row r="42" spans="28:54" x14ac:dyDescent="0.25">
      <c r="AD42" s="41">
        <f>AD17-1</f>
        <v>7.76</v>
      </c>
      <c r="AE42" s="41">
        <f>AE17-1</f>
        <v>8.65</v>
      </c>
    </row>
    <row r="43" spans="28:54" x14ac:dyDescent="0.25">
      <c r="AD43" s="41">
        <f t="shared" ref="AD43:AE43" si="12">AD18-1</f>
        <v>1.7400000000000002</v>
      </c>
      <c r="AE43" s="41">
        <f t="shared" si="12"/>
        <v>1.7599999999999998</v>
      </c>
    </row>
    <row r="44" spans="28:54" x14ac:dyDescent="0.25">
      <c r="AD44" s="41">
        <f t="shared" ref="AD44:AE44" si="13">AD19-1</f>
        <v>4.0199999999999996</v>
      </c>
      <c r="AE44" s="41">
        <f t="shared" si="13"/>
        <v>4.8899999999999997</v>
      </c>
    </row>
    <row r="45" spans="28:54" x14ac:dyDescent="0.25">
      <c r="AD45" s="41">
        <f t="shared" ref="AD45:AE45" si="14">AD20-1</f>
        <v>0</v>
      </c>
      <c r="AE45" s="41">
        <f t="shared" si="14"/>
        <v>0</v>
      </c>
    </row>
    <row r="46" spans="28:54" x14ac:dyDescent="0.25">
      <c r="AD46" s="41">
        <f t="shared" ref="AD46:AE46" si="15">AD21-1</f>
        <v>1</v>
      </c>
      <c r="AE46" s="41">
        <f t="shared" si="15"/>
        <v>2</v>
      </c>
      <c r="BB46" t="s">
        <v>91</v>
      </c>
    </row>
    <row r="47" spans="28:54" x14ac:dyDescent="0.25">
      <c r="AD47" s="41">
        <f t="shared" ref="AD47:AE47" si="16">AD22-1</f>
        <v>13.15</v>
      </c>
      <c r="AE47" s="41">
        <f t="shared" si="16"/>
        <v>14.4</v>
      </c>
    </row>
    <row r="48" spans="28:54" x14ac:dyDescent="0.25">
      <c r="AD48" s="41">
        <f t="shared" ref="AD48:AE48" si="17">AD23-1</f>
        <v>4.97</v>
      </c>
      <c r="AE48" s="41">
        <f t="shared" si="17"/>
        <v>4.99</v>
      </c>
    </row>
    <row r="49" spans="30:31" x14ac:dyDescent="0.25">
      <c r="AD49" s="41">
        <f t="shared" ref="AD49:AE49" si="18">AD24-1</f>
        <v>6.18</v>
      </c>
      <c r="AE49" s="41">
        <f t="shared" si="18"/>
        <v>7.41</v>
      </c>
    </row>
    <row r="50" spans="30:31" x14ac:dyDescent="0.25">
      <c r="AD50" s="41">
        <f t="shared" ref="AD50:AE50" si="19">AD25-1</f>
        <v>1</v>
      </c>
      <c r="AE50" s="41">
        <f t="shared" si="19"/>
        <v>2</v>
      </c>
    </row>
    <row r="51" spans="30:31" x14ac:dyDescent="0.25">
      <c r="AD51" s="41">
        <f t="shared" ref="AD51:AE51" si="20">AD26-1</f>
        <v>2</v>
      </c>
      <c r="AE51" s="41">
        <f t="shared" si="20"/>
        <v>4</v>
      </c>
    </row>
    <row r="52" spans="30:31" x14ac:dyDescent="0.25">
      <c r="AD52" s="41">
        <f t="shared" ref="AD52:AE52" si="21">AD27-1</f>
        <v>17.03</v>
      </c>
      <c r="AE52" s="41">
        <f t="shared" si="21"/>
        <v>18.239999999999998</v>
      </c>
    </row>
    <row r="53" spans="30:31" x14ac:dyDescent="0.25">
      <c r="AD53" s="41">
        <f t="shared" ref="AD53:AE53" si="22">AD28-1</f>
        <v>10.050000000000001</v>
      </c>
      <c r="AE53" s="41">
        <f t="shared" si="22"/>
        <v>9.99</v>
      </c>
    </row>
    <row r="54" spans="30:31" x14ac:dyDescent="0.25">
      <c r="AD54" s="41">
        <f t="shared" ref="AD54:AE54" si="23">AD29-1</f>
        <v>5.98</v>
      </c>
      <c r="AE54" s="41">
        <f t="shared" si="23"/>
        <v>7.25</v>
      </c>
    </row>
    <row r="55" spans="30:31" x14ac:dyDescent="0.25">
      <c r="AD55" s="41">
        <f t="shared" ref="AD55:AE55" si="24">AD30-1</f>
        <v>0</v>
      </c>
      <c r="AE55" s="41">
        <f t="shared" si="24"/>
        <v>0</v>
      </c>
    </row>
    <row r="56" spans="30:31" x14ac:dyDescent="0.25">
      <c r="AD56" s="41">
        <f t="shared" ref="AD56:AE56" si="25">AD31-1</f>
        <v>1</v>
      </c>
      <c r="AE56" s="41">
        <f t="shared" si="25"/>
        <v>3</v>
      </c>
    </row>
    <row r="57" spans="30:31" x14ac:dyDescent="0.25">
      <c r="AD57" s="41">
        <f t="shared" ref="AD57:AE57" si="26">AD32-1</f>
        <v>9.23</v>
      </c>
      <c r="AE57" s="41">
        <f t="shared" si="26"/>
        <v>12.31</v>
      </c>
    </row>
    <row r="58" spans="30:31" x14ac:dyDescent="0.25">
      <c r="AD58" s="41">
        <f t="shared" ref="AD58:AE58" si="27">AD33-1</f>
        <v>2.74</v>
      </c>
      <c r="AE58" s="41">
        <f t="shared" si="27"/>
        <v>2.77</v>
      </c>
    </row>
    <row r="59" spans="30:31" x14ac:dyDescent="0.25">
      <c r="AD59" s="41">
        <f t="shared" ref="AD59:AE59" si="28">AD34-1</f>
        <v>5.49</v>
      </c>
      <c r="AE59" s="41">
        <f t="shared" si="28"/>
        <v>8.5399999999999991</v>
      </c>
    </row>
    <row r="60" spans="30:31" x14ac:dyDescent="0.25">
      <c r="AD60" s="41">
        <f t="shared" ref="AD60:AE60" si="29">AD35-1</f>
        <v>0</v>
      </c>
      <c r="AE60" s="41">
        <f t="shared" si="29"/>
        <v>0</v>
      </c>
    </row>
    <row r="61" spans="30:31" x14ac:dyDescent="0.25">
      <c r="AD61" s="41">
        <f t="shared" ref="AD61:AE61" si="30">AD36-1</f>
        <v>1</v>
      </c>
      <c r="AE61" s="41">
        <f t="shared" si="30"/>
        <v>3</v>
      </c>
    </row>
    <row r="62" spans="30:31" x14ac:dyDescent="0.25">
      <c r="AD62" s="41">
        <f t="shared" ref="AD62:AE62" si="31">AD37-1</f>
        <v>12.22</v>
      </c>
      <c r="AE62" s="41">
        <f t="shared" si="31"/>
        <v>15.260000000000002</v>
      </c>
    </row>
    <row r="63" spans="30:31" x14ac:dyDescent="0.25">
      <c r="AD63" s="41">
        <f t="shared" ref="AD63:AE63" si="32">AD38-1</f>
        <v>6.01</v>
      </c>
      <c r="AE63" s="41">
        <f t="shared" si="32"/>
        <v>6.01</v>
      </c>
    </row>
    <row r="64" spans="30:31" x14ac:dyDescent="0.25">
      <c r="AD64" s="41">
        <f t="shared" ref="AD64:AE64" si="33">AD39-1</f>
        <v>5.21</v>
      </c>
      <c r="AE64" s="41">
        <f t="shared" si="33"/>
        <v>8.25</v>
      </c>
    </row>
    <row r="65" spans="1:40" x14ac:dyDescent="0.25">
      <c r="AD65" s="41">
        <f t="shared" ref="AD65:AE65" si="34">AD40-1</f>
        <v>0</v>
      </c>
      <c r="AE65" s="41">
        <f t="shared" si="34"/>
        <v>1</v>
      </c>
    </row>
    <row r="66" spans="1:40" x14ac:dyDescent="0.25"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D66" s="41">
        <f t="shared" ref="AD66:AE66" si="35">AD41-1</f>
        <v>1</v>
      </c>
      <c r="AE66" s="41">
        <f t="shared" si="35"/>
        <v>4</v>
      </c>
    </row>
    <row r="67" spans="1:40" x14ac:dyDescent="0.25">
      <c r="O67" s="108"/>
      <c r="P67" s="114" t="s">
        <v>75</v>
      </c>
      <c r="Q67" s="113"/>
      <c r="R67" s="114" t="s">
        <v>76</v>
      </c>
      <c r="S67" s="113"/>
      <c r="T67" s="114" t="s">
        <v>77</v>
      </c>
      <c r="U67" s="113"/>
      <c r="V67" s="114" t="s">
        <v>78</v>
      </c>
      <c r="W67" s="113"/>
      <c r="X67" s="112" t="s">
        <v>79</v>
      </c>
      <c r="Y67" s="113"/>
      <c r="Z67" s="108"/>
      <c r="AD67" s="41">
        <f t="shared" ref="AD67:AE67" si="36">AD42-1</f>
        <v>6.76</v>
      </c>
      <c r="AE67" s="41">
        <f t="shared" si="36"/>
        <v>7.65</v>
      </c>
    </row>
    <row r="68" spans="1:40" x14ac:dyDescent="0.25">
      <c r="O68" s="108"/>
      <c r="P68" s="121" t="s">
        <v>73</v>
      </c>
      <c r="Q68" s="122" t="s">
        <v>74</v>
      </c>
      <c r="R68" s="121" t="s">
        <v>73</v>
      </c>
      <c r="S68" s="122" t="s">
        <v>74</v>
      </c>
      <c r="T68" s="121" t="s">
        <v>73</v>
      </c>
      <c r="U68" s="122" t="s">
        <v>74</v>
      </c>
      <c r="V68" s="121" t="s">
        <v>73</v>
      </c>
      <c r="W68" s="122" t="s">
        <v>74</v>
      </c>
      <c r="X68" s="123" t="s">
        <v>73</v>
      </c>
      <c r="Y68" s="122" t="s">
        <v>74</v>
      </c>
      <c r="Z68" s="108"/>
      <c r="AD68" s="41">
        <f t="shared" ref="AD68:AE68" si="37">AD43-1</f>
        <v>0.74000000000000021</v>
      </c>
      <c r="AE68" s="41">
        <f t="shared" si="37"/>
        <v>0.75999999999999979</v>
      </c>
    </row>
    <row r="69" spans="1:40" x14ac:dyDescent="0.25">
      <c r="O69" s="124" t="s">
        <v>71</v>
      </c>
      <c r="P69" s="115">
        <v>1</v>
      </c>
      <c r="Q69" s="116">
        <v>2</v>
      </c>
      <c r="R69" s="115">
        <v>2</v>
      </c>
      <c r="S69" s="116">
        <v>3</v>
      </c>
      <c r="T69" s="115">
        <v>1</v>
      </c>
      <c r="U69" s="116">
        <v>2</v>
      </c>
      <c r="V69" s="115">
        <v>1</v>
      </c>
      <c r="W69" s="116">
        <v>2</v>
      </c>
      <c r="X69" s="117">
        <v>1</v>
      </c>
      <c r="Y69" s="118">
        <v>2</v>
      </c>
      <c r="Z69" s="108"/>
      <c r="AD69" s="41">
        <f>AD44-1</f>
        <v>3.0199999999999996</v>
      </c>
      <c r="AE69" s="41">
        <f>AE44-1</f>
        <v>3.8899999999999997</v>
      </c>
    </row>
    <row r="70" spans="1:40" x14ac:dyDescent="0.25">
      <c r="O70" s="129" t="s">
        <v>72</v>
      </c>
      <c r="P70" s="126">
        <v>1</v>
      </c>
      <c r="Q70" s="127">
        <v>3</v>
      </c>
      <c r="R70" s="126">
        <v>3</v>
      </c>
      <c r="S70" s="127">
        <v>5</v>
      </c>
      <c r="T70" s="126">
        <v>1</v>
      </c>
      <c r="U70" s="127">
        <v>3</v>
      </c>
      <c r="V70" s="126">
        <v>1</v>
      </c>
      <c r="W70" s="127">
        <v>3</v>
      </c>
      <c r="X70" s="128">
        <v>2</v>
      </c>
      <c r="Y70" s="127">
        <v>4</v>
      </c>
      <c r="Z70" s="108"/>
      <c r="AD70" s="41">
        <f t="shared" ref="AD70:AE70" si="38">AD45-1</f>
        <v>-1</v>
      </c>
      <c r="AE70" s="41">
        <f t="shared" si="38"/>
        <v>-1</v>
      </c>
    </row>
    <row r="71" spans="1:40" x14ac:dyDescent="0.25">
      <c r="O71" s="125" t="s">
        <v>70</v>
      </c>
      <c r="P71" s="119">
        <v>1</v>
      </c>
      <c r="Q71" s="120">
        <v>2</v>
      </c>
      <c r="R71" s="119">
        <v>2</v>
      </c>
      <c r="S71" s="120">
        <v>3</v>
      </c>
      <c r="T71" s="119">
        <v>1</v>
      </c>
      <c r="U71" s="120">
        <v>2</v>
      </c>
      <c r="V71" s="119">
        <v>1</v>
      </c>
      <c r="W71" s="120">
        <v>2</v>
      </c>
      <c r="X71" s="131">
        <v>1</v>
      </c>
      <c r="Y71" s="132">
        <v>2</v>
      </c>
      <c r="Z71" s="108"/>
      <c r="AD71" s="41">
        <f t="shared" ref="AD71:AE71" si="39">AD46-1</f>
        <v>0</v>
      </c>
      <c r="AE71" s="41">
        <f t="shared" si="39"/>
        <v>1</v>
      </c>
    </row>
    <row r="72" spans="1:40" x14ac:dyDescent="0.25">
      <c r="O72" s="130" t="s">
        <v>72</v>
      </c>
      <c r="P72" s="126">
        <v>1</v>
      </c>
      <c r="Q72" s="127">
        <v>3</v>
      </c>
      <c r="R72" s="126">
        <v>3</v>
      </c>
      <c r="S72" s="127">
        <v>5</v>
      </c>
      <c r="T72" s="126">
        <v>1</v>
      </c>
      <c r="U72" s="127">
        <v>3</v>
      </c>
      <c r="V72" s="126">
        <v>1</v>
      </c>
      <c r="W72" s="127">
        <v>3</v>
      </c>
      <c r="X72" s="128">
        <v>2</v>
      </c>
      <c r="Y72" s="127">
        <v>4</v>
      </c>
      <c r="Z72" s="108"/>
    </row>
    <row r="73" spans="1:40" x14ac:dyDescent="0.25"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</row>
    <row r="74" spans="1:40" x14ac:dyDescent="0.25"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</row>
    <row r="78" spans="1:40" ht="15.75" thickBot="1" x14ac:dyDescent="0.3">
      <c r="B78" t="s">
        <v>62</v>
      </c>
      <c r="I78" s="109"/>
      <c r="J78" s="109"/>
      <c r="K78" s="109"/>
      <c r="Q78" t="s">
        <v>63</v>
      </c>
    </row>
    <row r="79" spans="1:40" ht="15.75" thickTop="1" x14ac:dyDescent="0.25">
      <c r="A79" s="92" t="s">
        <v>64</v>
      </c>
      <c r="B79" s="88"/>
      <c r="C79" s="89"/>
      <c r="D79" s="88">
        <v>0.4</v>
      </c>
      <c r="E79" s="88">
        <v>-0.2</v>
      </c>
      <c r="F79" s="88">
        <v>1.4</v>
      </c>
      <c r="G79" s="88">
        <v>0.6</v>
      </c>
      <c r="H79" s="88">
        <v>1.8</v>
      </c>
      <c r="I79" s="110"/>
      <c r="J79" s="111"/>
      <c r="K79" s="111"/>
      <c r="Q79" s="90">
        <v>0.8</v>
      </c>
      <c r="R79" s="90">
        <v>-0.6</v>
      </c>
      <c r="S79" s="90">
        <v>2.6</v>
      </c>
      <c r="T79" s="90">
        <v>0</v>
      </c>
      <c r="U79" s="90">
        <v>2.2000000000000002</v>
      </c>
      <c r="V79" s="109"/>
      <c r="AA79" s="91"/>
      <c r="AB79" s="88"/>
      <c r="AC79" s="88"/>
      <c r="AD79" s="88"/>
      <c r="AF79" s="91"/>
      <c r="AG79" s="88"/>
      <c r="AH79" s="88"/>
      <c r="AI79" s="88"/>
      <c r="AK79" s="91"/>
      <c r="AL79" s="88"/>
      <c r="AM79" s="88"/>
      <c r="AN79" s="88"/>
    </row>
    <row r="80" spans="1:40" ht="15.75" thickBot="1" x14ac:dyDescent="0.3">
      <c r="A80" s="106" t="s">
        <v>68</v>
      </c>
      <c r="D80" s="107">
        <v>1</v>
      </c>
      <c r="E80" s="107">
        <v>2</v>
      </c>
      <c r="F80" s="107">
        <v>1</v>
      </c>
      <c r="G80" s="107">
        <v>1</v>
      </c>
      <c r="H80" s="107">
        <v>1</v>
      </c>
      <c r="I80" s="109"/>
      <c r="J80" s="109"/>
      <c r="K80" s="109"/>
      <c r="O80" s="106" t="s">
        <v>69</v>
      </c>
      <c r="Q80" s="107">
        <v>2</v>
      </c>
      <c r="R80" s="107">
        <v>3</v>
      </c>
      <c r="S80" s="107">
        <v>2</v>
      </c>
      <c r="T80" s="107">
        <v>2</v>
      </c>
      <c r="U80" s="107">
        <v>2</v>
      </c>
      <c r="V80" s="109"/>
    </row>
    <row r="81" spans="1:54" ht="15.75" thickTop="1" x14ac:dyDescent="0.25">
      <c r="A81" s="92" t="s">
        <v>65</v>
      </c>
      <c r="B81" s="88"/>
      <c r="C81" s="89"/>
      <c r="D81" s="88">
        <v>0.91666666666666663</v>
      </c>
      <c r="E81" s="88">
        <v>1.0833333333333333</v>
      </c>
      <c r="F81" s="88">
        <v>2</v>
      </c>
      <c r="G81" s="88">
        <v>1.4166666666666667</v>
      </c>
      <c r="H81" s="88">
        <v>0.83333333333333337</v>
      </c>
      <c r="I81" s="110"/>
      <c r="J81" s="111"/>
      <c r="K81" s="111"/>
      <c r="Q81" s="90">
        <v>2.8333333333333335</v>
      </c>
      <c r="R81" s="90">
        <v>1.9166666666666667</v>
      </c>
      <c r="S81" s="90">
        <v>2.3333333333333335</v>
      </c>
      <c r="T81" s="90">
        <v>1.25</v>
      </c>
      <c r="U81" s="90">
        <v>1.4166666666666667</v>
      </c>
      <c r="V81" s="109"/>
      <c r="AA81" s="91"/>
      <c r="AB81" s="88"/>
      <c r="AC81" s="88"/>
      <c r="AD81" s="88"/>
      <c r="AF81" s="91"/>
      <c r="AG81" s="88"/>
      <c r="AH81" s="88"/>
      <c r="AI81" s="88"/>
      <c r="AK81" s="91"/>
      <c r="AL81" s="88"/>
      <c r="AM81" s="88"/>
      <c r="AN81" s="88"/>
    </row>
    <row r="82" spans="1:54" ht="15.75" thickBot="1" x14ac:dyDescent="0.3">
      <c r="A82" s="106" t="s">
        <v>68</v>
      </c>
      <c r="D82" s="107">
        <v>1</v>
      </c>
      <c r="E82" s="107">
        <v>3</v>
      </c>
      <c r="F82" s="107">
        <v>1</v>
      </c>
      <c r="G82" s="107">
        <v>1</v>
      </c>
      <c r="H82" s="107">
        <v>2</v>
      </c>
      <c r="I82" s="109"/>
      <c r="J82" s="109"/>
      <c r="K82" s="109"/>
      <c r="O82" s="106" t="s">
        <v>69</v>
      </c>
      <c r="Q82" s="107">
        <v>3</v>
      </c>
      <c r="R82" s="107">
        <v>5</v>
      </c>
      <c r="S82" s="107">
        <v>3</v>
      </c>
      <c r="T82" s="107">
        <v>3</v>
      </c>
      <c r="U82" s="107">
        <v>4</v>
      </c>
      <c r="V82" s="109"/>
    </row>
    <row r="83" spans="1:54" ht="15.75" thickTop="1" x14ac:dyDescent="0.25">
      <c r="A83" s="92" t="s">
        <v>66</v>
      </c>
      <c r="B83" s="88"/>
      <c r="C83" s="89"/>
      <c r="D83" s="88">
        <v>0.44444444444444442</v>
      </c>
      <c r="E83" s="88">
        <v>0.88888888888888884</v>
      </c>
      <c r="F83" s="88">
        <v>0.55555555555555558</v>
      </c>
      <c r="G83" s="88">
        <v>0.88888888888888884</v>
      </c>
      <c r="H83" s="88">
        <v>0.55555555555555558</v>
      </c>
      <c r="I83" s="110"/>
      <c r="J83" s="111"/>
      <c r="K83" s="111"/>
      <c r="Q83" s="90">
        <v>2.5555555555555554</v>
      </c>
      <c r="R83" s="90">
        <v>1.5555555555555556</v>
      </c>
      <c r="S83" s="90">
        <v>1</v>
      </c>
      <c r="T83" s="90">
        <v>1.8888888888888888</v>
      </c>
      <c r="U83" s="90">
        <v>1.3333333333333333</v>
      </c>
      <c r="V83" s="109"/>
      <c r="AA83" s="91"/>
      <c r="AB83" s="88"/>
      <c r="AC83" s="88"/>
      <c r="AD83" s="88"/>
      <c r="AF83" s="91"/>
      <c r="AG83" s="88"/>
      <c r="AH83" s="88"/>
      <c r="AI83" s="88"/>
      <c r="AK83" s="91"/>
      <c r="AL83" s="88"/>
      <c r="AM83" s="88"/>
      <c r="AN83" s="88"/>
    </row>
    <row r="84" spans="1:54" ht="15.75" thickBot="1" x14ac:dyDescent="0.3">
      <c r="A84" s="106" t="s">
        <v>68</v>
      </c>
      <c r="D84" s="107">
        <v>1</v>
      </c>
      <c r="E84" s="107">
        <v>2</v>
      </c>
      <c r="F84" s="107">
        <v>1</v>
      </c>
      <c r="G84" s="107">
        <v>1</v>
      </c>
      <c r="H84" s="107">
        <v>1</v>
      </c>
      <c r="I84" s="109"/>
      <c r="J84" s="109"/>
      <c r="K84" s="109"/>
      <c r="O84" s="106" t="s">
        <v>69</v>
      </c>
      <c r="Q84" s="107">
        <v>2</v>
      </c>
      <c r="R84" s="107">
        <v>3</v>
      </c>
      <c r="S84" s="107">
        <v>2</v>
      </c>
      <c r="T84" s="107">
        <v>2</v>
      </c>
      <c r="U84" s="107">
        <v>2</v>
      </c>
      <c r="V84" s="109"/>
    </row>
    <row r="85" spans="1:54" ht="15.75" thickTop="1" x14ac:dyDescent="0.25">
      <c r="A85" s="92" t="s">
        <v>67</v>
      </c>
      <c r="B85" s="88"/>
      <c r="C85" s="89"/>
      <c r="D85" s="88">
        <v>2</v>
      </c>
      <c r="E85" s="88">
        <v>0.25</v>
      </c>
      <c r="F85" s="88">
        <v>2.75</v>
      </c>
      <c r="G85" s="88">
        <v>1.375</v>
      </c>
      <c r="H85" s="88">
        <v>3.375</v>
      </c>
      <c r="I85" s="110"/>
      <c r="J85" s="111"/>
      <c r="K85" s="111"/>
      <c r="Q85" s="90">
        <v>3.25</v>
      </c>
      <c r="R85" s="90">
        <v>3</v>
      </c>
      <c r="S85" s="90">
        <v>5.5</v>
      </c>
      <c r="T85" s="90">
        <v>2.25</v>
      </c>
      <c r="U85" s="90">
        <v>3.875</v>
      </c>
      <c r="V85" s="109"/>
      <c r="AA85" s="91"/>
      <c r="AB85" s="88"/>
      <c r="AC85" s="88"/>
      <c r="AD85" s="88"/>
      <c r="AF85" s="91"/>
      <c r="AG85" s="88"/>
      <c r="AH85" s="88"/>
      <c r="AI85" s="88"/>
      <c r="AK85" s="91"/>
      <c r="AL85" s="88"/>
      <c r="AM85" s="88"/>
      <c r="AN85" s="88"/>
    </row>
    <row r="86" spans="1:54" x14ac:dyDescent="0.25">
      <c r="A86" s="106" t="s">
        <v>68</v>
      </c>
      <c r="D86" s="107">
        <v>1</v>
      </c>
      <c r="E86" s="107">
        <v>3</v>
      </c>
      <c r="F86" s="107">
        <v>1</v>
      </c>
      <c r="G86" s="107">
        <v>1</v>
      </c>
      <c r="H86" s="107">
        <v>2</v>
      </c>
      <c r="I86" s="109"/>
      <c r="J86" s="109"/>
      <c r="K86" s="109"/>
      <c r="O86" s="106" t="s">
        <v>69</v>
      </c>
      <c r="Q86" s="107">
        <v>3</v>
      </c>
      <c r="R86" s="107">
        <v>5</v>
      </c>
      <c r="S86" s="107">
        <v>3</v>
      </c>
      <c r="T86" s="107">
        <v>3</v>
      </c>
      <c r="U86" s="107">
        <v>4</v>
      </c>
      <c r="V86" s="109"/>
    </row>
    <row r="87" spans="1:54" x14ac:dyDescent="0.25">
      <c r="I87" s="109"/>
      <c r="J87" s="109"/>
      <c r="K87" s="109"/>
    </row>
    <row r="88" spans="1:54" x14ac:dyDescent="0.25">
      <c r="D88">
        <f>D79/D80</f>
        <v>0.4</v>
      </c>
      <c r="E88">
        <f t="shared" ref="E88:H88" si="40">E79/E80</f>
        <v>-0.1</v>
      </c>
      <c r="F88">
        <f t="shared" si="40"/>
        <v>1.4</v>
      </c>
      <c r="G88">
        <f t="shared" si="40"/>
        <v>0.6</v>
      </c>
      <c r="H88">
        <f t="shared" si="40"/>
        <v>1.8</v>
      </c>
      <c r="Q88">
        <f>Q79/Q80</f>
        <v>0.4</v>
      </c>
      <c r="R88">
        <f t="shared" ref="R88:U88" si="41">R79/R80</f>
        <v>-0.19999999999999998</v>
      </c>
      <c r="S88">
        <f t="shared" si="41"/>
        <v>1.3</v>
      </c>
      <c r="T88">
        <f t="shared" si="41"/>
        <v>0</v>
      </c>
      <c r="U88">
        <f t="shared" si="41"/>
        <v>1.1000000000000001</v>
      </c>
    </row>
    <row r="90" spans="1:54" x14ac:dyDescent="0.25">
      <c r="D90">
        <f t="shared" ref="D90:H94" si="42">D81/D82</f>
        <v>0.91666666666666663</v>
      </c>
      <c r="E90">
        <f t="shared" si="42"/>
        <v>0.3611111111111111</v>
      </c>
      <c r="F90">
        <f t="shared" si="42"/>
        <v>2</v>
      </c>
      <c r="G90">
        <f t="shared" si="42"/>
        <v>1.4166666666666667</v>
      </c>
      <c r="H90">
        <f t="shared" si="42"/>
        <v>0.41666666666666669</v>
      </c>
      <c r="Q90">
        <f t="shared" ref="Q90:U90" si="43">Q81/Q82</f>
        <v>0.94444444444444453</v>
      </c>
      <c r="R90">
        <f t="shared" si="43"/>
        <v>0.38333333333333336</v>
      </c>
      <c r="S90">
        <f t="shared" si="43"/>
        <v>0.77777777777777779</v>
      </c>
      <c r="T90">
        <f t="shared" si="43"/>
        <v>0.41666666666666669</v>
      </c>
      <c r="U90">
        <f t="shared" si="43"/>
        <v>0.35416666666666669</v>
      </c>
    </row>
    <row r="92" spans="1:54" x14ac:dyDescent="0.25">
      <c r="D92">
        <f t="shared" si="42"/>
        <v>0.44444444444444442</v>
      </c>
      <c r="E92">
        <f t="shared" si="42"/>
        <v>0.44444444444444442</v>
      </c>
      <c r="F92">
        <f t="shared" si="42"/>
        <v>0.55555555555555558</v>
      </c>
      <c r="G92">
        <f t="shared" si="42"/>
        <v>0.88888888888888884</v>
      </c>
      <c r="H92">
        <f t="shared" si="42"/>
        <v>0.55555555555555558</v>
      </c>
      <c r="Q92">
        <f t="shared" ref="Q92:U92" si="44">Q83/Q84</f>
        <v>1.2777777777777777</v>
      </c>
      <c r="R92">
        <f t="shared" si="44"/>
        <v>0.51851851851851849</v>
      </c>
      <c r="S92">
        <f t="shared" si="44"/>
        <v>0.5</v>
      </c>
      <c r="T92">
        <f t="shared" si="44"/>
        <v>0.94444444444444442</v>
      </c>
      <c r="U92">
        <f t="shared" si="44"/>
        <v>0.66666666666666663</v>
      </c>
    </row>
    <row r="93" spans="1:54" x14ac:dyDescent="0.25">
      <c r="BB93" t="s">
        <v>92</v>
      </c>
    </row>
    <row r="94" spans="1:54" x14ac:dyDescent="0.25">
      <c r="D94">
        <f t="shared" si="42"/>
        <v>2</v>
      </c>
      <c r="E94">
        <f t="shared" si="42"/>
        <v>8.3333333333333329E-2</v>
      </c>
      <c r="F94">
        <f t="shared" si="42"/>
        <v>2.75</v>
      </c>
      <c r="G94">
        <f t="shared" si="42"/>
        <v>1.375</v>
      </c>
      <c r="H94">
        <f t="shared" si="42"/>
        <v>1.6875</v>
      </c>
      <c r="Q94">
        <f t="shared" ref="Q94:U94" si="45">Q85/Q86</f>
        <v>1.0833333333333333</v>
      </c>
      <c r="R94">
        <f t="shared" si="45"/>
        <v>0.6</v>
      </c>
      <c r="S94">
        <f t="shared" si="45"/>
        <v>1.8333333333333333</v>
      </c>
      <c r="T94">
        <f t="shared" si="45"/>
        <v>0.75</v>
      </c>
      <c r="U94">
        <f t="shared" si="45"/>
        <v>0.96875</v>
      </c>
    </row>
    <row r="96" spans="1:54" x14ac:dyDescent="0.25">
      <c r="AA96" s="196"/>
    </row>
    <row r="135" spans="1:27" ht="15.75" thickBot="1" x14ac:dyDescent="0.3">
      <c r="A135" t="s">
        <v>80</v>
      </c>
    </row>
    <row r="136" spans="1:27" ht="16.5" thickTop="1" thickBot="1" x14ac:dyDescent="0.3">
      <c r="A136" s="31" t="s">
        <v>14</v>
      </c>
      <c r="B136" s="32">
        <v>1</v>
      </c>
      <c r="C136" s="92">
        <v>21.080000000000002</v>
      </c>
      <c r="D136" s="88"/>
      <c r="E136" s="89">
        <v>18.312000000000005</v>
      </c>
      <c r="F136" s="88"/>
      <c r="G136" s="90"/>
      <c r="H136" s="91">
        <v>22.643999999999998</v>
      </c>
      <c r="I136" s="88"/>
      <c r="J136" s="88">
        <v>13.256</v>
      </c>
      <c r="K136" s="88"/>
      <c r="L136" s="90"/>
      <c r="M136" s="91">
        <v>26.354000000000003</v>
      </c>
      <c r="N136" s="88"/>
      <c r="O136" s="88">
        <v>15.551999999999998</v>
      </c>
      <c r="P136" s="88"/>
      <c r="Q136" s="90"/>
      <c r="R136" s="91">
        <v>18.713999999999999</v>
      </c>
      <c r="S136" s="88"/>
      <c r="T136" s="88">
        <v>11.686</v>
      </c>
      <c r="U136" s="88"/>
      <c r="V136" s="90"/>
      <c r="W136" s="91">
        <v>23.78</v>
      </c>
      <c r="X136" s="88"/>
      <c r="Y136" s="88">
        <v>13.336000000000002</v>
      </c>
      <c r="Z136" s="88"/>
      <c r="AA136" s="90"/>
    </row>
    <row r="137" spans="1:27" ht="16.5" thickTop="1" thickBot="1" x14ac:dyDescent="0.3">
      <c r="A137" s="31" t="s">
        <v>14</v>
      </c>
      <c r="B137" s="32">
        <v>2</v>
      </c>
      <c r="C137" s="92">
        <v>10.4</v>
      </c>
      <c r="D137" s="88"/>
      <c r="E137" s="89">
        <v>7.6319999999999997</v>
      </c>
      <c r="F137" s="88"/>
      <c r="G137" s="90"/>
      <c r="H137" s="91">
        <v>15.134</v>
      </c>
      <c r="I137" s="88"/>
      <c r="J137" s="88">
        <v>9.1660000000000004</v>
      </c>
      <c r="K137" s="88"/>
      <c r="L137" s="90"/>
      <c r="M137" s="91">
        <v>19.494</v>
      </c>
      <c r="N137" s="88"/>
      <c r="O137" s="88">
        <v>8.4819999999999993</v>
      </c>
      <c r="P137" s="88"/>
      <c r="Q137" s="90"/>
      <c r="R137" s="91">
        <v>13.086000000000002</v>
      </c>
      <c r="S137" s="88"/>
      <c r="T137" s="88">
        <v>9.331999999999999</v>
      </c>
      <c r="U137" s="88"/>
      <c r="V137" s="90"/>
      <c r="W137" s="91">
        <v>18.346</v>
      </c>
      <c r="X137" s="88"/>
      <c r="Y137" s="88">
        <v>11.312000000000001</v>
      </c>
      <c r="Z137" s="88"/>
      <c r="AA137" s="90"/>
    </row>
    <row r="138" spans="1:27" ht="16.5" thickTop="1" thickBot="1" x14ac:dyDescent="0.3">
      <c r="A138" s="31" t="s">
        <v>14</v>
      </c>
      <c r="B138" s="32">
        <v>1</v>
      </c>
      <c r="C138" s="133">
        <v>23.271666666666665</v>
      </c>
      <c r="D138" s="52"/>
      <c r="E138" s="75">
        <v>20.495000000000001</v>
      </c>
      <c r="F138" s="52"/>
      <c r="G138" s="78"/>
      <c r="H138" s="56">
        <v>33.489166666666669</v>
      </c>
      <c r="I138" s="52"/>
      <c r="J138" s="52">
        <v>23.787499999999998</v>
      </c>
      <c r="K138" s="52"/>
      <c r="L138" s="78"/>
      <c r="M138" s="56">
        <v>36.229999999999997</v>
      </c>
      <c r="N138" s="52"/>
      <c r="O138" s="52">
        <v>25.03</v>
      </c>
      <c r="P138" s="52"/>
      <c r="Q138" s="78"/>
      <c r="R138" s="56">
        <v>25.110000000000003</v>
      </c>
      <c r="S138" s="52"/>
      <c r="T138" s="52">
        <v>18.630833333333328</v>
      </c>
      <c r="U138" s="52"/>
      <c r="V138" s="78"/>
      <c r="W138" s="56">
        <v>30.365833333333331</v>
      </c>
      <c r="X138" s="52"/>
      <c r="Y138" s="52">
        <v>17.740000000000002</v>
      </c>
      <c r="Z138" s="52"/>
      <c r="AA138" s="78"/>
    </row>
    <row r="139" spans="1:27" ht="16.5" thickTop="1" thickBot="1" x14ac:dyDescent="0.3">
      <c r="A139" s="31" t="s">
        <v>14</v>
      </c>
      <c r="B139" s="32">
        <v>2</v>
      </c>
      <c r="C139" s="133">
        <v>14.945833333333333</v>
      </c>
      <c r="D139" s="52"/>
      <c r="E139" s="75">
        <v>12.404999999999999</v>
      </c>
      <c r="F139" s="52"/>
      <c r="G139" s="78"/>
      <c r="H139" s="56">
        <v>20.950833333333332</v>
      </c>
      <c r="I139" s="52"/>
      <c r="J139" s="52">
        <v>14.972500000000002</v>
      </c>
      <c r="K139" s="52"/>
      <c r="L139" s="78"/>
      <c r="M139" s="56">
        <v>26.74666666666667</v>
      </c>
      <c r="N139" s="52"/>
      <c r="O139" s="52">
        <v>15.697499999999998</v>
      </c>
      <c r="P139" s="52"/>
      <c r="Q139" s="78"/>
      <c r="R139" s="56">
        <v>17.969166666666663</v>
      </c>
      <c r="S139" s="52"/>
      <c r="T139" s="52">
        <v>13.739166666666668</v>
      </c>
      <c r="U139" s="52"/>
      <c r="V139" s="78"/>
      <c r="W139" s="56">
        <v>25.664166666666663</v>
      </c>
      <c r="X139" s="52"/>
      <c r="Y139" s="52">
        <v>17.922499999999999</v>
      </c>
      <c r="Z139" s="52"/>
      <c r="AA139" s="78"/>
    </row>
    <row r="140" spans="1:27" ht="16.5" thickTop="1" thickBot="1" x14ac:dyDescent="0.3">
      <c r="A140" s="31" t="s">
        <v>14</v>
      </c>
      <c r="B140" s="32">
        <v>1</v>
      </c>
      <c r="C140" s="92">
        <v>21.712222222222223</v>
      </c>
      <c r="D140" s="88"/>
      <c r="E140" s="89">
        <v>18.948888888888892</v>
      </c>
      <c r="F140" s="88"/>
      <c r="G140" s="90"/>
      <c r="H140" s="91">
        <v>26.587777777777781</v>
      </c>
      <c r="I140" s="88"/>
      <c r="J140" s="88">
        <v>16.075555555555557</v>
      </c>
      <c r="K140" s="88"/>
      <c r="L140" s="90"/>
      <c r="M140" s="91">
        <v>29.117777777777778</v>
      </c>
      <c r="N140" s="88"/>
      <c r="O140" s="88">
        <v>18.34</v>
      </c>
      <c r="P140" s="88"/>
      <c r="Q140" s="90"/>
      <c r="R140" s="91">
        <v>21.545555555555556</v>
      </c>
      <c r="S140" s="88"/>
      <c r="T140" s="88">
        <v>15.983333333333333</v>
      </c>
      <c r="U140" s="88"/>
      <c r="V140" s="90"/>
      <c r="W140" s="91">
        <v>25.224444444444444</v>
      </c>
      <c r="X140" s="88"/>
      <c r="Y140" s="88">
        <v>15.835555555555556</v>
      </c>
      <c r="Z140" s="88"/>
      <c r="AA140" s="90"/>
    </row>
    <row r="141" spans="1:27" ht="16.5" thickTop="1" thickBot="1" x14ac:dyDescent="0.3">
      <c r="A141" s="31" t="s">
        <v>14</v>
      </c>
      <c r="B141" s="32">
        <v>2</v>
      </c>
      <c r="C141" s="92">
        <v>13.083333333333334</v>
      </c>
      <c r="D141" s="88"/>
      <c r="E141" s="89">
        <v>10.30222222222222</v>
      </c>
      <c r="F141" s="88"/>
      <c r="G141" s="90"/>
      <c r="H141" s="91">
        <v>18.155555555555551</v>
      </c>
      <c r="I141" s="88"/>
      <c r="J141" s="88">
        <v>12.185555555555556</v>
      </c>
      <c r="K141" s="88"/>
      <c r="L141" s="90"/>
      <c r="M141" s="91">
        <v>22.84888888888889</v>
      </c>
      <c r="N141" s="88"/>
      <c r="O141" s="88">
        <v>11.835555555555553</v>
      </c>
      <c r="P141" s="88"/>
      <c r="Q141" s="90"/>
      <c r="R141" s="91">
        <v>14.709999999999999</v>
      </c>
      <c r="S141" s="88"/>
      <c r="T141" s="88">
        <v>10.953333333333331</v>
      </c>
      <c r="U141" s="88"/>
      <c r="V141" s="90"/>
      <c r="W141" s="91">
        <v>28.402222222222221</v>
      </c>
      <c r="X141" s="88"/>
      <c r="Y141" s="88">
        <v>21.376666666666665</v>
      </c>
      <c r="Z141" s="88"/>
      <c r="AA141" s="90"/>
    </row>
    <row r="142" spans="1:27" ht="16.5" thickTop="1" thickBot="1" x14ac:dyDescent="0.3">
      <c r="A142" s="31" t="s">
        <v>14</v>
      </c>
      <c r="B142" s="32">
        <v>1</v>
      </c>
      <c r="C142" s="133">
        <v>20.917499999999997</v>
      </c>
      <c r="D142" s="52"/>
      <c r="E142" s="75">
        <v>17.603750000000002</v>
      </c>
      <c r="F142" s="52"/>
      <c r="G142" s="78"/>
      <c r="H142" s="56">
        <v>25.287499999999998</v>
      </c>
      <c r="I142" s="52"/>
      <c r="J142" s="52">
        <v>14.807499999999999</v>
      </c>
      <c r="K142" s="52"/>
      <c r="L142" s="78"/>
      <c r="M142" s="56">
        <v>31.017499999999998</v>
      </c>
      <c r="N142" s="52"/>
      <c r="O142" s="52">
        <v>19.27375</v>
      </c>
      <c r="P142" s="52"/>
      <c r="Q142" s="78"/>
      <c r="R142" s="56">
        <v>19.691249999999997</v>
      </c>
      <c r="S142" s="52"/>
      <c r="T142" s="52">
        <v>13.75375</v>
      </c>
      <c r="U142" s="52"/>
      <c r="V142" s="78"/>
      <c r="W142" s="56">
        <v>29.958749999999998</v>
      </c>
      <c r="X142" s="52"/>
      <c r="Y142" s="52">
        <v>17.318749999999998</v>
      </c>
      <c r="Z142" s="52"/>
      <c r="AA142" s="78"/>
    </row>
    <row r="143" spans="1:27" ht="15.75" thickTop="1" x14ac:dyDescent="0.25">
      <c r="A143" s="31" t="s">
        <v>14</v>
      </c>
      <c r="B143" s="32">
        <v>2</v>
      </c>
      <c r="C143" s="133">
        <v>12.0025</v>
      </c>
      <c r="D143" s="52"/>
      <c r="E143" s="75">
        <v>9.2275000000000009</v>
      </c>
      <c r="F143" s="52"/>
      <c r="G143" s="78"/>
      <c r="H143" s="56">
        <v>16.610000000000003</v>
      </c>
      <c r="I143" s="52"/>
      <c r="J143" s="52">
        <v>9.3074999999999992</v>
      </c>
      <c r="K143" s="52"/>
      <c r="L143" s="78"/>
      <c r="M143" s="56">
        <v>20.239999999999998</v>
      </c>
      <c r="N143" s="52"/>
      <c r="O143" s="52">
        <v>9.1787500000000009</v>
      </c>
      <c r="P143" s="52"/>
      <c r="Q143" s="78"/>
      <c r="R143" s="56">
        <v>16.3325</v>
      </c>
      <c r="S143" s="52"/>
      <c r="T143" s="52">
        <v>12.56625</v>
      </c>
      <c r="U143" s="52"/>
      <c r="V143" s="78"/>
      <c r="W143" s="56">
        <v>22.053750000000001</v>
      </c>
      <c r="X143" s="52"/>
      <c r="Y143" s="52">
        <v>15.022500000000003</v>
      </c>
      <c r="Z143" s="52"/>
      <c r="AA143" s="78"/>
    </row>
    <row r="145" spans="2:26" x14ac:dyDescent="0.25">
      <c r="B145" s="134" t="s">
        <v>71</v>
      </c>
      <c r="C145" s="135"/>
      <c r="D145" s="135"/>
      <c r="E145" s="136">
        <f>E136/C136</f>
        <v>0.86869070208728671</v>
      </c>
      <c r="F145" s="136"/>
      <c r="G145" s="136"/>
      <c r="H145" s="136"/>
      <c r="I145" s="136"/>
      <c r="J145" s="136">
        <f t="shared" ref="J145:Y152" si="46">J136/H136</f>
        <v>0.58540893835011487</v>
      </c>
      <c r="K145" s="136"/>
      <c r="L145" s="136"/>
      <c r="M145" s="136"/>
      <c r="N145" s="136"/>
      <c r="O145" s="136">
        <f t="shared" si="46"/>
        <v>0.59011914699855794</v>
      </c>
      <c r="P145" s="136"/>
      <c r="Q145" s="136"/>
      <c r="R145" s="136"/>
      <c r="S145" s="136"/>
      <c r="T145" s="136">
        <f t="shared" si="46"/>
        <v>0.62445228171422473</v>
      </c>
      <c r="U145" s="136"/>
      <c r="V145" s="136"/>
      <c r="W145" s="136"/>
      <c r="X145" s="136"/>
      <c r="Y145" s="136">
        <f t="shared" si="46"/>
        <v>0.56080740117746009</v>
      </c>
      <c r="Z145" s="135"/>
    </row>
    <row r="146" spans="2:26" x14ac:dyDescent="0.25">
      <c r="B146" s="134" t="s">
        <v>71</v>
      </c>
      <c r="C146" s="135"/>
      <c r="D146" s="135"/>
      <c r="E146" s="136">
        <f t="shared" ref="E146:E152" si="47">E137/C137</f>
        <v>0.73384615384615381</v>
      </c>
      <c r="F146" s="136"/>
      <c r="G146" s="136"/>
      <c r="H146" s="136"/>
      <c r="I146" s="136"/>
      <c r="J146" s="136">
        <f t="shared" si="46"/>
        <v>0.60565613849610156</v>
      </c>
      <c r="K146" s="136"/>
      <c r="L146" s="136"/>
      <c r="M146" s="136"/>
      <c r="N146" s="136"/>
      <c r="O146" s="136">
        <f t="shared" si="46"/>
        <v>0.43510823843233815</v>
      </c>
      <c r="P146" s="136"/>
      <c r="Q146" s="136"/>
      <c r="R146" s="136"/>
      <c r="S146" s="136"/>
      <c r="T146" s="136">
        <f t="shared" si="46"/>
        <v>0.71312853431147771</v>
      </c>
      <c r="U146" s="136"/>
      <c r="V146" s="136"/>
      <c r="W146" s="136"/>
      <c r="X146" s="136"/>
      <c r="Y146" s="136">
        <f t="shared" si="46"/>
        <v>0.61659217268069344</v>
      </c>
      <c r="Z146" s="135"/>
    </row>
    <row r="147" spans="2:26" x14ac:dyDescent="0.25">
      <c r="B147" s="138" t="s">
        <v>72</v>
      </c>
      <c r="C147" s="139"/>
      <c r="D147" s="139"/>
      <c r="E147" s="140">
        <f t="shared" si="47"/>
        <v>0.88068466661892153</v>
      </c>
      <c r="F147" s="140"/>
      <c r="G147" s="140"/>
      <c r="H147" s="140"/>
      <c r="I147" s="140"/>
      <c r="J147" s="140">
        <f t="shared" si="46"/>
        <v>0.71030432727001258</v>
      </c>
      <c r="K147" s="140"/>
      <c r="L147" s="140"/>
      <c r="M147" s="140"/>
      <c r="N147" s="140"/>
      <c r="O147" s="140">
        <f t="shared" si="46"/>
        <v>0.6908639249240961</v>
      </c>
      <c r="P147" s="140"/>
      <c r="Q147" s="140"/>
      <c r="R147" s="140"/>
      <c r="S147" s="140"/>
      <c r="T147" s="140">
        <f t="shared" si="46"/>
        <v>0.74196867118014043</v>
      </c>
      <c r="U147" s="140"/>
      <c r="V147" s="140"/>
      <c r="W147" s="140"/>
      <c r="X147" s="140"/>
      <c r="Y147" s="140">
        <f t="shared" si="46"/>
        <v>0.58420922637833106</v>
      </c>
      <c r="Z147" s="139"/>
    </row>
    <row r="148" spans="2:26" x14ac:dyDescent="0.25">
      <c r="B148" s="138" t="s">
        <v>72</v>
      </c>
      <c r="C148" s="139"/>
      <c r="D148" s="139"/>
      <c r="E148" s="140">
        <f t="shared" si="47"/>
        <v>0.82999721215500422</v>
      </c>
      <c r="F148" s="140"/>
      <c r="G148" s="140"/>
      <c r="H148" s="140"/>
      <c r="I148" s="140"/>
      <c r="J148" s="140">
        <f t="shared" si="46"/>
        <v>0.71464937751083901</v>
      </c>
      <c r="K148" s="140"/>
      <c r="L148" s="140"/>
      <c r="M148" s="140"/>
      <c r="N148" s="140"/>
      <c r="O148" s="140">
        <f t="shared" si="46"/>
        <v>0.58689556331006965</v>
      </c>
      <c r="P148" s="140"/>
      <c r="Q148" s="140"/>
      <c r="R148" s="140"/>
      <c r="S148" s="140"/>
      <c r="T148" s="140">
        <f t="shared" si="46"/>
        <v>0.76459676297361245</v>
      </c>
      <c r="U148" s="140"/>
      <c r="V148" s="140"/>
      <c r="W148" s="140"/>
      <c r="X148" s="140"/>
      <c r="Y148" s="140">
        <f t="shared" si="46"/>
        <v>0.69834724161444306</v>
      </c>
      <c r="Z148" s="139"/>
    </row>
    <row r="149" spans="2:26" x14ac:dyDescent="0.25">
      <c r="B149" s="137" t="s">
        <v>70</v>
      </c>
      <c r="C149" s="135"/>
      <c r="D149" s="135"/>
      <c r="E149" s="136">
        <f t="shared" si="47"/>
        <v>0.87272913361649873</v>
      </c>
      <c r="F149" s="136"/>
      <c r="G149" s="136"/>
      <c r="H149" s="136"/>
      <c r="I149" s="136"/>
      <c r="J149" s="136">
        <f t="shared" si="46"/>
        <v>0.60462200677002798</v>
      </c>
      <c r="K149" s="136"/>
      <c r="L149" s="136"/>
      <c r="M149" s="136"/>
      <c r="N149" s="136"/>
      <c r="O149" s="136">
        <f t="shared" si="46"/>
        <v>0.62985575822330764</v>
      </c>
      <c r="P149" s="136"/>
      <c r="Q149" s="136"/>
      <c r="R149" s="136"/>
      <c r="S149" s="136"/>
      <c r="T149" s="136">
        <f t="shared" si="46"/>
        <v>0.74183899747305448</v>
      </c>
      <c r="U149" s="136"/>
      <c r="V149" s="136"/>
      <c r="W149" s="136"/>
      <c r="X149" s="136"/>
      <c r="Y149" s="136">
        <f t="shared" si="46"/>
        <v>0.62778609814113295</v>
      </c>
      <c r="Z149" s="135"/>
    </row>
    <row r="150" spans="2:26" x14ac:dyDescent="0.25">
      <c r="B150" s="137" t="s">
        <v>70</v>
      </c>
      <c r="C150" s="135"/>
      <c r="D150" s="135"/>
      <c r="E150" s="136">
        <f t="shared" si="47"/>
        <v>0.78743099787685755</v>
      </c>
      <c r="F150" s="136"/>
      <c r="G150" s="136"/>
      <c r="H150" s="136"/>
      <c r="I150" s="136"/>
      <c r="J150" s="136">
        <f t="shared" si="46"/>
        <v>0.67117503059975536</v>
      </c>
      <c r="K150" s="136"/>
      <c r="L150" s="136"/>
      <c r="M150" s="136"/>
      <c r="N150" s="136"/>
      <c r="O150" s="136">
        <f t="shared" si="46"/>
        <v>0.51799260844193717</v>
      </c>
      <c r="P150" s="136"/>
      <c r="Q150" s="136"/>
      <c r="R150" s="136"/>
      <c r="S150" s="136"/>
      <c r="T150" s="136">
        <f t="shared" si="46"/>
        <v>0.7446181735780647</v>
      </c>
      <c r="U150" s="136"/>
      <c r="V150" s="136"/>
      <c r="W150" s="136"/>
      <c r="X150" s="136"/>
      <c r="Y150" s="136">
        <f t="shared" si="46"/>
        <v>0.7526406384476958</v>
      </c>
      <c r="Z150" s="135"/>
    </row>
    <row r="151" spans="2:26" x14ac:dyDescent="0.25">
      <c r="B151" s="141" t="s">
        <v>72</v>
      </c>
      <c r="C151" s="139"/>
      <c r="D151" s="139"/>
      <c r="E151" s="140">
        <f t="shared" si="47"/>
        <v>0.84158001673240135</v>
      </c>
      <c r="F151" s="140"/>
      <c r="G151" s="140"/>
      <c r="H151" s="140"/>
      <c r="I151" s="140"/>
      <c r="J151" s="140">
        <f t="shared" si="46"/>
        <v>0.58556599110232332</v>
      </c>
      <c r="K151" s="140"/>
      <c r="L151" s="140"/>
      <c r="M151" s="140"/>
      <c r="N151" s="140"/>
      <c r="O151" s="140">
        <f t="shared" si="46"/>
        <v>0.62138309019102123</v>
      </c>
      <c r="P151" s="140"/>
      <c r="Q151" s="140"/>
      <c r="R151" s="140"/>
      <c r="S151" s="140"/>
      <c r="T151" s="140">
        <f t="shared" si="46"/>
        <v>0.69847013267314173</v>
      </c>
      <c r="U151" s="140"/>
      <c r="V151" s="140"/>
      <c r="W151" s="140"/>
      <c r="X151" s="140"/>
      <c r="Y151" s="140">
        <f t="shared" si="46"/>
        <v>0.57808653565318979</v>
      </c>
      <c r="Z151" s="139"/>
    </row>
    <row r="152" spans="2:26" x14ac:dyDescent="0.25">
      <c r="B152" s="141" t="s">
        <v>72</v>
      </c>
      <c r="C152" s="139"/>
      <c r="D152" s="139"/>
      <c r="E152" s="140">
        <f t="shared" si="47"/>
        <v>0.76879816704853166</v>
      </c>
      <c r="F152" s="140"/>
      <c r="G152" s="140"/>
      <c r="H152" s="140"/>
      <c r="I152" s="140"/>
      <c r="J152" s="140">
        <f t="shared" si="46"/>
        <v>0.56035520770620095</v>
      </c>
      <c r="K152" s="140"/>
      <c r="L152" s="140"/>
      <c r="M152" s="140"/>
      <c r="N152" s="140"/>
      <c r="O152" s="140">
        <f t="shared" si="46"/>
        <v>0.45349555335968389</v>
      </c>
      <c r="P152" s="140"/>
      <c r="Q152" s="140"/>
      <c r="R152" s="140"/>
      <c r="S152" s="140"/>
      <c r="T152" s="140">
        <f t="shared" si="46"/>
        <v>0.76940150007653452</v>
      </c>
      <c r="U152" s="140"/>
      <c r="V152" s="140"/>
      <c r="W152" s="140"/>
      <c r="X152" s="140"/>
      <c r="Y152" s="140">
        <f t="shared" si="46"/>
        <v>0.68117667063424592</v>
      </c>
      <c r="Z152" s="139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CA843-B68E-4106-A5E6-0BDFC6764F04}">
  <sheetPr codeName="Arkusz2"/>
  <dimension ref="A1:EW74"/>
  <sheetViews>
    <sheetView zoomScale="85" zoomScaleNormal="85" workbookViewId="0">
      <selection activeCell="K5" sqref="K5"/>
    </sheetView>
  </sheetViews>
  <sheetFormatPr defaultRowHeight="15" x14ac:dyDescent="0.25"/>
  <cols>
    <col min="1" max="1" width="12.7109375" customWidth="1"/>
    <col min="2" max="2" width="3.28515625" customWidth="1"/>
    <col min="3" max="5" width="8" customWidth="1"/>
    <col min="6" max="7" width="8" style="41" customWidth="1"/>
    <col min="8" max="10" width="8" customWidth="1"/>
    <col min="11" max="12" width="8" style="41" customWidth="1"/>
    <col min="13" max="15" width="8" customWidth="1"/>
    <col min="16" max="17" width="8" style="41" customWidth="1"/>
    <col min="18" max="20" width="8" customWidth="1"/>
    <col min="21" max="22" width="8" style="41" customWidth="1"/>
    <col min="23" max="25" width="8" customWidth="1"/>
    <col min="26" max="27" width="8" style="41" customWidth="1"/>
  </cols>
  <sheetData>
    <row r="1" spans="1:153" x14ac:dyDescent="0.25">
      <c r="A1" s="5"/>
      <c r="B1" s="33" t="s">
        <v>12</v>
      </c>
      <c r="C1" s="49"/>
      <c r="D1" s="50"/>
      <c r="E1" s="50" t="s">
        <v>3</v>
      </c>
      <c r="F1" s="50"/>
      <c r="G1" s="76"/>
      <c r="H1" s="54"/>
      <c r="I1" s="54"/>
      <c r="J1" s="54" t="s">
        <v>4</v>
      </c>
      <c r="K1" s="54"/>
      <c r="L1" s="79"/>
      <c r="M1" s="50"/>
      <c r="N1" s="50"/>
      <c r="O1" s="50" t="s">
        <v>5</v>
      </c>
      <c r="P1" s="50"/>
      <c r="Q1" s="76"/>
      <c r="R1" s="54"/>
      <c r="S1" s="54"/>
      <c r="T1" s="54" t="s">
        <v>6</v>
      </c>
      <c r="U1" s="54"/>
      <c r="V1" s="79"/>
      <c r="W1" s="50"/>
      <c r="X1" s="50"/>
      <c r="Y1" s="50" t="s">
        <v>35</v>
      </c>
      <c r="Z1" s="50"/>
      <c r="AA1" s="81"/>
    </row>
    <row r="2" spans="1:153" ht="15.75" thickBot="1" x14ac:dyDescent="0.3">
      <c r="A2" s="12"/>
      <c r="B2" s="18"/>
      <c r="C2" s="51" t="s">
        <v>7</v>
      </c>
      <c r="D2" s="51" t="s">
        <v>8</v>
      </c>
      <c r="E2" s="51" t="s">
        <v>36</v>
      </c>
      <c r="F2" s="51" t="s">
        <v>10</v>
      </c>
      <c r="G2" s="77" t="s">
        <v>9</v>
      </c>
      <c r="H2" s="55" t="s">
        <v>7</v>
      </c>
      <c r="I2" s="55" t="s">
        <v>8</v>
      </c>
      <c r="J2" s="55" t="s">
        <v>36</v>
      </c>
      <c r="K2" s="55" t="s">
        <v>10</v>
      </c>
      <c r="L2" s="80" t="s">
        <v>9</v>
      </c>
      <c r="M2" s="51" t="s">
        <v>7</v>
      </c>
      <c r="N2" s="51" t="s">
        <v>8</v>
      </c>
      <c r="O2" s="51" t="s">
        <v>36</v>
      </c>
      <c r="P2" s="51" t="s">
        <v>10</v>
      </c>
      <c r="Q2" s="77" t="s">
        <v>9</v>
      </c>
      <c r="R2" s="55" t="s">
        <v>7</v>
      </c>
      <c r="S2" s="55" t="s">
        <v>8</v>
      </c>
      <c r="T2" s="55" t="s">
        <v>36</v>
      </c>
      <c r="U2" s="55" t="s">
        <v>10</v>
      </c>
      <c r="V2" s="80" t="s">
        <v>9</v>
      </c>
      <c r="W2" s="51" t="s">
        <v>7</v>
      </c>
      <c r="X2" s="51" t="s">
        <v>8</v>
      </c>
      <c r="Y2" s="51" t="s">
        <v>36</v>
      </c>
      <c r="Z2" s="51" t="s">
        <v>10</v>
      </c>
      <c r="AA2" s="77" t="s">
        <v>9</v>
      </c>
    </row>
    <row r="3" spans="1:153" ht="16.5" thickTop="1" thickBot="1" x14ac:dyDescent="0.3">
      <c r="A3" s="31" t="s">
        <v>14</v>
      </c>
      <c r="B3" s="32">
        <v>1</v>
      </c>
      <c r="C3" s="92">
        <v>10.680000000000001</v>
      </c>
      <c r="D3" s="88">
        <v>-8.8817841970012528E-17</v>
      </c>
      <c r="E3" s="89">
        <v>10.680000000000001</v>
      </c>
      <c r="F3" s="88">
        <v>0.4</v>
      </c>
      <c r="G3" s="90">
        <v>0.8</v>
      </c>
      <c r="H3" s="91">
        <v>7.51</v>
      </c>
      <c r="I3" s="88">
        <v>3.4199999999999995</v>
      </c>
      <c r="J3" s="88">
        <v>4.089999999999999</v>
      </c>
      <c r="K3" s="88">
        <v>-0.2</v>
      </c>
      <c r="L3" s="90">
        <v>-0.6</v>
      </c>
      <c r="M3" s="91">
        <v>6.8600000000000012</v>
      </c>
      <c r="N3" s="88">
        <v>-0.2099999999999998</v>
      </c>
      <c r="O3" s="88">
        <v>7.0699999999999985</v>
      </c>
      <c r="P3" s="88">
        <v>1.4</v>
      </c>
      <c r="Q3" s="90">
        <v>2.6</v>
      </c>
      <c r="R3" s="91">
        <v>5.6280000000000001</v>
      </c>
      <c r="S3" s="88">
        <v>3.2740000000000009</v>
      </c>
      <c r="T3" s="88">
        <v>2.3540000000000001</v>
      </c>
      <c r="U3" s="88">
        <v>0.6</v>
      </c>
      <c r="V3" s="90">
        <v>0</v>
      </c>
      <c r="W3" s="91">
        <v>5.4340000000000002</v>
      </c>
      <c r="X3" s="88">
        <v>3.4099999999999993</v>
      </c>
      <c r="Y3" s="88">
        <v>2.0240000000000009</v>
      </c>
      <c r="Z3" s="88">
        <v>1.8</v>
      </c>
      <c r="AA3" s="90">
        <v>2.2000000000000002</v>
      </c>
    </row>
    <row r="4" spans="1:153" ht="16.5" thickTop="1" thickBot="1" x14ac:dyDescent="0.3">
      <c r="A4" s="31" t="s">
        <v>37</v>
      </c>
      <c r="B4" s="32">
        <v>1</v>
      </c>
      <c r="C4" s="87">
        <v>6.59</v>
      </c>
      <c r="D4" s="88">
        <v>-2.0000000000000018E-2</v>
      </c>
      <c r="E4" s="89">
        <v>6.59</v>
      </c>
      <c r="F4" s="88">
        <v>0</v>
      </c>
      <c r="G4" s="90">
        <v>-1</v>
      </c>
      <c r="H4" s="91">
        <v>3.4699999999999989</v>
      </c>
      <c r="I4" s="88">
        <v>9.9999999999997868E-3</v>
      </c>
      <c r="J4" s="88">
        <v>2.7600000000000016</v>
      </c>
      <c r="K4" s="88">
        <v>0</v>
      </c>
      <c r="L4" s="90">
        <v>-2</v>
      </c>
      <c r="M4" s="91">
        <v>1.6199999999999974</v>
      </c>
      <c r="N4" s="88">
        <v>-1.1799999999999997</v>
      </c>
      <c r="O4" s="88">
        <v>1.6099999999999959</v>
      </c>
      <c r="P4" s="88">
        <v>0</v>
      </c>
      <c r="Q4" s="90">
        <v>-1</v>
      </c>
      <c r="R4" s="91">
        <v>3.17</v>
      </c>
      <c r="S4" s="88">
        <v>0</v>
      </c>
      <c r="T4" s="88">
        <v>0.25999999999999979</v>
      </c>
      <c r="U4" s="88">
        <v>0</v>
      </c>
      <c r="V4" s="90">
        <v>-1</v>
      </c>
      <c r="W4" s="91">
        <v>0.94000000000000128</v>
      </c>
      <c r="X4" s="88">
        <v>-3.9999999999999147E-2</v>
      </c>
      <c r="Y4" s="88">
        <v>-3.4799999999999969</v>
      </c>
      <c r="Z4" s="88">
        <v>0</v>
      </c>
      <c r="AA4" s="90">
        <v>0</v>
      </c>
    </row>
    <row r="5" spans="1:153" ht="16.5" thickTop="1" thickBot="1" x14ac:dyDescent="0.3">
      <c r="A5" s="31" t="s">
        <v>13</v>
      </c>
      <c r="B5" s="32">
        <v>1</v>
      </c>
      <c r="C5" s="87">
        <v>9.67</v>
      </c>
      <c r="D5" s="88">
        <v>0</v>
      </c>
      <c r="E5" s="89">
        <v>9.66</v>
      </c>
      <c r="F5" s="88">
        <v>0</v>
      </c>
      <c r="G5" s="90">
        <v>0</v>
      </c>
      <c r="H5" s="91">
        <v>6.9700000000000006</v>
      </c>
      <c r="I5" s="88">
        <v>4.2099999999999991</v>
      </c>
      <c r="J5" s="88">
        <v>3.4599999999999991</v>
      </c>
      <c r="K5" s="88">
        <v>-1</v>
      </c>
      <c r="L5" s="90">
        <v>-1</v>
      </c>
      <c r="M5" s="91">
        <v>1.8900000000000006</v>
      </c>
      <c r="N5" s="88">
        <v>-7.0000000000000284E-2</v>
      </c>
      <c r="O5" s="88">
        <v>1.7800000000000011</v>
      </c>
      <c r="P5" s="88">
        <v>0</v>
      </c>
      <c r="Q5" s="90">
        <v>0</v>
      </c>
      <c r="R5" s="91">
        <v>5.5499999999999989</v>
      </c>
      <c r="S5" s="88">
        <v>1.5499999999999998</v>
      </c>
      <c r="T5" s="88">
        <v>0.97000000000000064</v>
      </c>
      <c r="U5" s="88">
        <v>0</v>
      </c>
      <c r="V5" s="90">
        <v>0</v>
      </c>
      <c r="W5" s="91">
        <v>2.6000000000000014</v>
      </c>
      <c r="X5" s="88">
        <v>-1.9999999999999574E-2</v>
      </c>
      <c r="Y5" s="88">
        <v>-1.6499999999999968</v>
      </c>
      <c r="Z5" s="88">
        <v>0</v>
      </c>
      <c r="AA5" s="90">
        <v>1</v>
      </c>
    </row>
    <row r="6" spans="1:153" ht="16.5" thickTop="1" thickBot="1" x14ac:dyDescent="0.3">
      <c r="A6" s="31" t="s">
        <v>39</v>
      </c>
      <c r="B6" s="32">
        <v>1</v>
      </c>
      <c r="C6" s="87">
        <v>12.22</v>
      </c>
      <c r="D6" s="88">
        <v>9.9999999999997868E-3</v>
      </c>
      <c r="E6" s="89">
        <v>12.209999999999999</v>
      </c>
      <c r="F6" s="88">
        <v>1</v>
      </c>
      <c r="G6" s="90">
        <v>1</v>
      </c>
      <c r="H6" s="91">
        <v>8.5499999999999989</v>
      </c>
      <c r="I6" s="88">
        <v>4.3</v>
      </c>
      <c r="J6" s="88">
        <v>4.2399999999999984</v>
      </c>
      <c r="K6" s="88">
        <v>0</v>
      </c>
      <c r="L6" s="90">
        <v>2</v>
      </c>
      <c r="M6" s="91">
        <v>5.68</v>
      </c>
      <c r="N6" s="88">
        <v>8.0000000000000071E-2</v>
      </c>
      <c r="O6" s="88">
        <v>5.6</v>
      </c>
      <c r="P6" s="88">
        <v>2</v>
      </c>
      <c r="Q6" s="90">
        <v>4</v>
      </c>
      <c r="R6" s="91">
        <v>6.4700000000000006</v>
      </c>
      <c r="S6" s="88">
        <v>5.84</v>
      </c>
      <c r="T6" s="88">
        <v>4</v>
      </c>
      <c r="U6" s="88">
        <v>1</v>
      </c>
      <c r="V6" s="90">
        <v>1</v>
      </c>
      <c r="W6" s="91">
        <v>6.83</v>
      </c>
      <c r="X6" s="88">
        <v>4.28</v>
      </c>
      <c r="Y6" s="88">
        <v>6.8699999999999992</v>
      </c>
      <c r="Z6" s="88">
        <v>3</v>
      </c>
      <c r="AA6" s="90">
        <v>3</v>
      </c>
    </row>
    <row r="7" spans="1:153" ht="16.5" thickTop="1" thickBot="1" x14ac:dyDescent="0.3">
      <c r="A7" s="31" t="s">
        <v>23</v>
      </c>
      <c r="B7" s="32">
        <v>1</v>
      </c>
      <c r="C7" s="53">
        <v>6.5700000000000021</v>
      </c>
      <c r="D7" s="52">
        <v>2.9999999999999805E-2</v>
      </c>
      <c r="E7" s="75">
        <v>6.5900000000000034</v>
      </c>
      <c r="F7" s="52">
        <v>1</v>
      </c>
      <c r="G7" s="78">
        <v>4</v>
      </c>
      <c r="H7" s="56">
        <v>6.65</v>
      </c>
      <c r="I7" s="52">
        <v>4.3000000000000007</v>
      </c>
      <c r="J7" s="52">
        <v>3.0899999999999972</v>
      </c>
      <c r="K7" s="52">
        <v>2</v>
      </c>
      <c r="L7" s="78">
        <v>4</v>
      </c>
      <c r="M7" s="56">
        <v>18.920000000000005</v>
      </c>
      <c r="N7" s="52">
        <v>1.2899999999999991</v>
      </c>
      <c r="O7" s="52">
        <v>20.110000000000007</v>
      </c>
      <c r="P7" s="52">
        <v>4</v>
      </c>
      <c r="Q7" s="78">
        <v>8</v>
      </c>
      <c r="R7" s="56">
        <v>3.6400000000000006</v>
      </c>
      <c r="S7" s="52">
        <v>4.330000000000001</v>
      </c>
      <c r="T7" s="52">
        <v>4.66</v>
      </c>
      <c r="U7" s="52">
        <v>1</v>
      </c>
      <c r="V7" s="78">
        <v>2</v>
      </c>
      <c r="W7" s="56">
        <v>10.759999999999998</v>
      </c>
      <c r="X7" s="52">
        <v>8.6199999999999974</v>
      </c>
      <c r="Y7" s="52">
        <v>10.899999999999995</v>
      </c>
      <c r="Z7" s="52">
        <v>3</v>
      </c>
      <c r="AA7" s="78">
        <v>4</v>
      </c>
    </row>
    <row r="8" spans="1:153" ht="15" customHeight="1" thickTop="1" thickBot="1" x14ac:dyDescent="0.3">
      <c r="A8" s="31" t="s">
        <v>44</v>
      </c>
      <c r="B8" s="32">
        <v>1</v>
      </c>
      <c r="C8" s="94">
        <v>6.59</v>
      </c>
      <c r="D8" s="95">
        <v>-2.0000000000000018E-2</v>
      </c>
      <c r="E8" s="96">
        <v>6.59</v>
      </c>
      <c r="F8" s="95">
        <v>0</v>
      </c>
      <c r="G8" s="97">
        <v>-1</v>
      </c>
      <c r="H8" s="98">
        <v>3.4699999999999989</v>
      </c>
      <c r="I8" s="95">
        <v>9.9999999999997868E-3</v>
      </c>
      <c r="J8" s="95">
        <v>2.7600000000000016</v>
      </c>
      <c r="K8" s="95">
        <v>-1</v>
      </c>
      <c r="L8" s="97">
        <v>-2</v>
      </c>
      <c r="M8" s="98">
        <v>1.6199999999999974</v>
      </c>
      <c r="N8" s="95">
        <v>-1.1799999999999997</v>
      </c>
      <c r="O8" s="95">
        <v>1.6099999999999959</v>
      </c>
      <c r="P8" s="95">
        <v>0</v>
      </c>
      <c r="Q8" s="97">
        <v>-1</v>
      </c>
      <c r="R8" s="98">
        <v>3.17</v>
      </c>
      <c r="S8" s="95">
        <v>1.5499999999999998</v>
      </c>
      <c r="T8" s="95">
        <v>0.25999999999999979</v>
      </c>
      <c r="U8" s="95">
        <v>0</v>
      </c>
      <c r="V8" s="97">
        <v>-1</v>
      </c>
      <c r="W8" s="98">
        <v>0.94000000000000128</v>
      </c>
      <c r="X8" s="95">
        <v>-3.9999999999999147E-2</v>
      </c>
      <c r="Y8" s="95">
        <v>-3.4799999999999969</v>
      </c>
      <c r="Z8" s="95">
        <v>0</v>
      </c>
      <c r="AA8" s="97">
        <v>0</v>
      </c>
      <c r="AB8" s="1"/>
      <c r="AC8" s="93"/>
      <c r="AD8" s="71"/>
      <c r="BA8" s="1"/>
      <c r="BC8" s="1"/>
      <c r="BZ8" s="1"/>
      <c r="CY8" s="1"/>
      <c r="DA8" s="1"/>
      <c r="DX8" s="1"/>
      <c r="EW8" s="1"/>
    </row>
    <row r="9" spans="1:153" ht="15" customHeight="1" thickTop="1" thickBot="1" x14ac:dyDescent="0.3">
      <c r="A9" s="31" t="s">
        <v>45</v>
      </c>
      <c r="B9" s="32">
        <v>1</v>
      </c>
      <c r="C9" s="94">
        <v>13.160000000000002</v>
      </c>
      <c r="D9" s="95">
        <v>9.9999999999997868E-3</v>
      </c>
      <c r="E9" s="96">
        <v>13.180000000000003</v>
      </c>
      <c r="F9" s="95">
        <v>1</v>
      </c>
      <c r="G9" s="97">
        <v>3</v>
      </c>
      <c r="H9" s="98">
        <v>10.119999999999999</v>
      </c>
      <c r="I9" s="95">
        <v>4.3100000000000005</v>
      </c>
      <c r="J9" s="95">
        <v>5.8499999999999988</v>
      </c>
      <c r="K9" s="95">
        <v>1</v>
      </c>
      <c r="L9" s="97">
        <v>2</v>
      </c>
      <c r="M9" s="98">
        <v>20.540000000000003</v>
      </c>
      <c r="N9" s="95">
        <v>0.10999999999999943</v>
      </c>
      <c r="O9" s="95">
        <v>21.720000000000002</v>
      </c>
      <c r="P9" s="95">
        <v>4</v>
      </c>
      <c r="Q9" s="97">
        <v>7</v>
      </c>
      <c r="R9" s="98">
        <v>6.8100000000000005</v>
      </c>
      <c r="S9" s="95">
        <v>5.8800000000000008</v>
      </c>
      <c r="T9" s="95">
        <v>4.92</v>
      </c>
      <c r="U9" s="95">
        <v>1</v>
      </c>
      <c r="V9" s="97">
        <v>1</v>
      </c>
      <c r="W9" s="98">
        <v>11.7</v>
      </c>
      <c r="X9" s="95">
        <v>8.5799999999999983</v>
      </c>
      <c r="Y9" s="95">
        <v>7.4199999999999982</v>
      </c>
      <c r="Z9" s="95">
        <v>3</v>
      </c>
      <c r="AA9" s="97">
        <v>4</v>
      </c>
      <c r="AB9" s="1"/>
      <c r="AC9" s="93"/>
      <c r="AD9" s="71"/>
      <c r="BA9" s="1"/>
      <c r="BC9" s="1"/>
      <c r="BZ9" s="1"/>
      <c r="CY9" s="1"/>
      <c r="DA9" s="1"/>
      <c r="DX9" s="1"/>
      <c r="EW9" s="1"/>
    </row>
    <row r="10" spans="1:153" ht="16.5" thickTop="1" thickBot="1" x14ac:dyDescent="0.3">
      <c r="A10" s="31" t="s">
        <v>38</v>
      </c>
      <c r="B10" s="32">
        <v>1</v>
      </c>
      <c r="C10" s="53">
        <v>2.3425029348967743</v>
      </c>
      <c r="D10" s="52">
        <v>1.0954451150103251E-2</v>
      </c>
      <c r="E10" s="75">
        <v>2.3463077377019412</v>
      </c>
      <c r="F10" s="52">
        <v>0.48989794855663565</v>
      </c>
      <c r="G10" s="78">
        <v>1.3266499161421601</v>
      </c>
      <c r="H10" s="56">
        <v>2.2526340137714338</v>
      </c>
      <c r="I10" s="52">
        <v>1.7053562677634255</v>
      </c>
      <c r="J10" s="52">
        <v>1.028435705331159</v>
      </c>
      <c r="K10" s="52">
        <v>0.74833147735478833</v>
      </c>
      <c r="L10" s="78">
        <v>1.3564659966250538</v>
      </c>
      <c r="M10" s="56">
        <v>7.0133786437066137</v>
      </c>
      <c r="N10" s="52">
        <v>0.48895807591244467</v>
      </c>
      <c r="O10" s="52">
        <v>7.4897797030353326</v>
      </c>
      <c r="P10" s="52">
        <v>1.4966629547095764</v>
      </c>
      <c r="Q10" s="78">
        <v>2.8705400188814649</v>
      </c>
      <c r="R10" s="56">
        <v>1.297388145467655</v>
      </c>
      <c r="S10" s="52">
        <v>2.1114980464115995</v>
      </c>
      <c r="T10" s="52">
        <v>1.7962583333140028</v>
      </c>
      <c r="U10" s="52">
        <v>0.48989794855663565</v>
      </c>
      <c r="V10" s="78">
        <v>0.63245553203367588</v>
      </c>
      <c r="W10" s="56">
        <v>3.7296305447054663</v>
      </c>
      <c r="X10" s="52">
        <v>3.220521696868381</v>
      </c>
      <c r="Y10" s="52">
        <v>4.4164447239833065</v>
      </c>
      <c r="Z10" s="52">
        <v>1.4696938456699067</v>
      </c>
      <c r="AA10" s="78">
        <v>1.4696938456699069</v>
      </c>
    </row>
    <row r="11" spans="1:153" ht="16.5" thickTop="1" thickBot="1" x14ac:dyDescent="0.3">
      <c r="A11" s="31" t="s">
        <v>24</v>
      </c>
      <c r="B11" s="32">
        <v>1</v>
      </c>
      <c r="C11" s="53">
        <v>1.5305237452900802</v>
      </c>
      <c r="D11" s="52">
        <v>0.10466351393921022</v>
      </c>
      <c r="E11" s="75">
        <v>1.5317662150935243</v>
      </c>
      <c r="F11" s="52">
        <v>0.69992710231611666</v>
      </c>
      <c r="G11" s="78">
        <v>1.1518028981306481</v>
      </c>
      <c r="H11" s="56">
        <v>1.5008777477767581</v>
      </c>
      <c r="I11" s="52">
        <v>1.3058929005716455</v>
      </c>
      <c r="J11" s="52">
        <v>1.0141181910069255</v>
      </c>
      <c r="K11" s="52">
        <v>0.86506154541442215</v>
      </c>
      <c r="L11" s="78">
        <v>1.1646742019230329</v>
      </c>
      <c r="M11" s="56">
        <v>2.6482784301705538</v>
      </c>
      <c r="N11" s="52">
        <v>0.6992553724587639</v>
      </c>
      <c r="O11" s="52">
        <v>2.7367461890053546</v>
      </c>
      <c r="P11" s="52">
        <v>1.2233817698125047</v>
      </c>
      <c r="Q11" s="78">
        <v>1.6942668086465793</v>
      </c>
      <c r="R11" s="56">
        <v>1.1390294752409418</v>
      </c>
      <c r="S11" s="52">
        <v>1.4530994619817321</v>
      </c>
      <c r="T11" s="52">
        <v>1.340245624247288</v>
      </c>
      <c r="U11" s="52">
        <v>0.69992710231611666</v>
      </c>
      <c r="V11" s="78">
        <v>0.79527072876705063</v>
      </c>
      <c r="W11" s="56">
        <v>1.931225140864075</v>
      </c>
      <c r="X11" s="52">
        <v>1.7945812037543414</v>
      </c>
      <c r="Y11" s="52">
        <v>2.1015338978906115</v>
      </c>
      <c r="Z11" s="52">
        <v>1.2123093028059739</v>
      </c>
      <c r="AA11" s="78">
        <v>1.2123093028059742</v>
      </c>
    </row>
    <row r="12" spans="1:153" ht="16.5" thickTop="1" thickBot="1" x14ac:dyDescent="0.3">
      <c r="A12" s="31" t="s">
        <v>42</v>
      </c>
      <c r="B12" s="32">
        <v>1</v>
      </c>
      <c r="C12" s="53">
        <v>14.330746678746067</v>
      </c>
      <c r="D12" s="52">
        <v>0</v>
      </c>
      <c r="E12" s="75">
        <v>14.342380291137866</v>
      </c>
      <c r="F12" s="52">
        <v>174.98177557902915</v>
      </c>
      <c r="G12" s="78">
        <v>143.97536226633099</v>
      </c>
      <c r="H12" s="56">
        <v>19.985056561607966</v>
      </c>
      <c r="I12" s="52">
        <v>38.184002940691393</v>
      </c>
      <c r="J12" s="52">
        <v>24.795065794790361</v>
      </c>
      <c r="K12" s="52">
        <v>-432.53077270721104</v>
      </c>
      <c r="L12" s="78">
        <v>-194.11236698717215</v>
      </c>
      <c r="M12" s="56">
        <v>38.604641839220896</v>
      </c>
      <c r="N12" s="52">
        <v>-332.9787487898879</v>
      </c>
      <c r="O12" s="52">
        <v>38.709281315493001</v>
      </c>
      <c r="P12" s="52">
        <v>87.384412129464621</v>
      </c>
      <c r="Q12" s="78">
        <v>65.164108024868426</v>
      </c>
      <c r="R12" s="56">
        <v>20.238618963058666</v>
      </c>
      <c r="S12" s="52">
        <v>44.383001282276474</v>
      </c>
      <c r="T12" s="52">
        <v>56.934818362246723</v>
      </c>
      <c r="U12" s="52">
        <v>116.65451705268612</v>
      </c>
      <c r="V12" s="78">
        <v>0</v>
      </c>
      <c r="W12" s="56">
        <v>35.539660302982611</v>
      </c>
      <c r="X12" s="52">
        <v>52.627014772854601</v>
      </c>
      <c r="Y12" s="52">
        <v>103.83072618036614</v>
      </c>
      <c r="Z12" s="52">
        <v>67.350516822554113</v>
      </c>
      <c r="AA12" s="78">
        <v>55.104968309362455</v>
      </c>
    </row>
    <row r="13" spans="1:153" ht="16.5" thickTop="1" thickBot="1" x14ac:dyDescent="0.3">
      <c r="A13" s="31" t="s">
        <v>40</v>
      </c>
      <c r="B13" s="32">
        <v>1</v>
      </c>
      <c r="C13" s="82">
        <v>5.5982523062260325</v>
      </c>
      <c r="D13" s="83">
        <v>3.7500000000000955E-4</v>
      </c>
      <c r="E13" s="84">
        <v>5.3919180559693567</v>
      </c>
      <c r="F13" s="83">
        <v>-1.2500000000000007</v>
      </c>
      <c r="G13" s="85">
        <v>2.3863636363636416</v>
      </c>
      <c r="H13" s="86">
        <v>14.117785298047467</v>
      </c>
      <c r="I13" s="83">
        <v>22.682419377355352</v>
      </c>
      <c r="J13" s="83">
        <v>2.0035658894939927</v>
      </c>
      <c r="K13" s="83">
        <v>-0.53571428571428714</v>
      </c>
      <c r="L13" s="85">
        <v>10.706521739130437</v>
      </c>
      <c r="M13" s="86">
        <v>310.58944296892201</v>
      </c>
      <c r="N13" s="83">
        <v>1.7462022963024928</v>
      </c>
      <c r="O13" s="83">
        <v>363.3381601989775</v>
      </c>
      <c r="P13" s="83">
        <v>1.8750000000000131</v>
      </c>
      <c r="Q13" s="85">
        <v>-13.143203883495142</v>
      </c>
      <c r="R13" s="86">
        <v>7.9417118195169047</v>
      </c>
      <c r="S13" s="83">
        <v>-23.214291858064666</v>
      </c>
      <c r="T13" s="83">
        <v>-11.709784623423689</v>
      </c>
      <c r="U13" s="83">
        <v>-1.2500000000000007</v>
      </c>
      <c r="V13" s="85">
        <v>1.2500000000000002</v>
      </c>
      <c r="W13" s="86">
        <v>7.4441211882494152</v>
      </c>
      <c r="X13" s="83">
        <v>-9.6592589560498769</v>
      </c>
      <c r="Y13" s="83">
        <v>-83.565668108366438</v>
      </c>
      <c r="Z13" s="83">
        <v>-11.249999999999998</v>
      </c>
      <c r="AA13" s="85">
        <v>-5.6944444444444446</v>
      </c>
    </row>
    <row r="14" spans="1:153" ht="15.75" thickTop="1" x14ac:dyDescent="0.25">
      <c r="A14" s="31" t="s">
        <v>41</v>
      </c>
      <c r="B14" s="32">
        <v>1</v>
      </c>
      <c r="C14" s="82">
        <v>-5.727538119424449</v>
      </c>
      <c r="D14" s="83">
        <v>-2.1804898737335697E-3</v>
      </c>
      <c r="E14" s="84">
        <v>-5.682261783483912</v>
      </c>
      <c r="F14" s="83">
        <v>0.2916362926317152</v>
      </c>
      <c r="G14" s="85">
        <v>1.1779802367245269</v>
      </c>
      <c r="H14" s="86">
        <v>-5.7168626436728802</v>
      </c>
      <c r="I14" s="83">
        <v>-6.9521787622278568</v>
      </c>
      <c r="J14" s="83">
        <v>1.1396269187911452</v>
      </c>
      <c r="K14" s="83">
        <v>0.46342582790058301</v>
      </c>
      <c r="L14" s="85">
        <v>3.8611481694187511</v>
      </c>
      <c r="M14" s="86">
        <v>51.144316703082204</v>
      </c>
      <c r="N14" s="83">
        <v>-1.0262599187100276</v>
      </c>
      <c r="O14" s="83">
        <v>57.240103519105503</v>
      </c>
      <c r="P14" s="83">
        <v>2.785378136626687</v>
      </c>
      <c r="Q14" s="85">
        <v>2.0355875492234405</v>
      </c>
      <c r="R14" s="86">
        <v>-3.515607042476582</v>
      </c>
      <c r="S14" s="83">
        <v>2.6102736370258817</v>
      </c>
      <c r="T14" s="83">
        <v>1.5796092731297684</v>
      </c>
      <c r="U14" s="83">
        <v>-0.2916362926317152</v>
      </c>
      <c r="V14" s="85">
        <v>0</v>
      </c>
      <c r="W14" s="86">
        <v>7.8199983390767143</v>
      </c>
      <c r="X14" s="83">
        <v>4.1830688532186402</v>
      </c>
      <c r="Y14" s="83">
        <v>2.3964359755744535</v>
      </c>
      <c r="Z14" s="83">
        <v>-1.5153866285074684</v>
      </c>
      <c r="AA14" s="85">
        <v>-1.2908849057656218</v>
      </c>
    </row>
    <row r="21" spans="1:27" x14ac:dyDescent="0.25">
      <c r="A21" s="5"/>
      <c r="B21" s="33" t="s">
        <v>15</v>
      </c>
      <c r="C21" s="49"/>
      <c r="D21" s="50"/>
      <c r="E21" s="50" t="s">
        <v>3</v>
      </c>
      <c r="F21" s="50"/>
      <c r="G21" s="76"/>
      <c r="H21" s="54"/>
      <c r="I21" s="54"/>
      <c r="J21" s="54" t="s">
        <v>4</v>
      </c>
      <c r="K21" s="54"/>
      <c r="L21" s="79"/>
      <c r="M21" s="50"/>
      <c r="N21" s="50"/>
      <c r="O21" s="50" t="s">
        <v>5</v>
      </c>
      <c r="P21" s="50"/>
      <c r="Q21" s="76"/>
      <c r="R21" s="54"/>
      <c r="S21" s="54"/>
      <c r="T21" s="54" t="s">
        <v>6</v>
      </c>
      <c r="U21" s="54"/>
      <c r="V21" s="79"/>
      <c r="W21" s="50"/>
      <c r="X21" s="50"/>
      <c r="Y21" s="50" t="s">
        <v>35</v>
      </c>
      <c r="Z21" s="50"/>
      <c r="AA21" s="81"/>
    </row>
    <row r="22" spans="1:27" ht="15.75" thickBot="1" x14ac:dyDescent="0.3">
      <c r="A22" s="12"/>
      <c r="B22" s="18"/>
      <c r="C22" s="51" t="s">
        <v>7</v>
      </c>
      <c r="D22" s="51" t="s">
        <v>8</v>
      </c>
      <c r="E22" s="51" t="s">
        <v>36</v>
      </c>
      <c r="F22" s="51" t="s">
        <v>10</v>
      </c>
      <c r="G22" s="77" t="s">
        <v>9</v>
      </c>
      <c r="H22" s="55" t="s">
        <v>7</v>
      </c>
      <c r="I22" s="55" t="s">
        <v>8</v>
      </c>
      <c r="J22" s="55" t="s">
        <v>36</v>
      </c>
      <c r="K22" s="55" t="s">
        <v>10</v>
      </c>
      <c r="L22" s="80" t="s">
        <v>9</v>
      </c>
      <c r="M22" s="51" t="s">
        <v>7</v>
      </c>
      <c r="N22" s="51" t="s">
        <v>8</v>
      </c>
      <c r="O22" s="51" t="s">
        <v>36</v>
      </c>
      <c r="P22" s="51" t="s">
        <v>10</v>
      </c>
      <c r="Q22" s="77" t="s">
        <v>9</v>
      </c>
      <c r="R22" s="55" t="s">
        <v>7</v>
      </c>
      <c r="S22" s="55" t="s">
        <v>8</v>
      </c>
      <c r="T22" s="55" t="s">
        <v>36</v>
      </c>
      <c r="U22" s="55" t="s">
        <v>10</v>
      </c>
      <c r="V22" s="80" t="s">
        <v>9</v>
      </c>
      <c r="W22" s="51" t="s">
        <v>7</v>
      </c>
      <c r="X22" s="51" t="s">
        <v>8</v>
      </c>
      <c r="Y22" s="51" t="s">
        <v>36</v>
      </c>
      <c r="Z22" s="51" t="s">
        <v>10</v>
      </c>
      <c r="AA22" s="77" t="s">
        <v>9</v>
      </c>
    </row>
    <row r="23" spans="1:27" ht="16.5" thickTop="1" thickBot="1" x14ac:dyDescent="0.3">
      <c r="A23" s="31" t="s">
        <v>14</v>
      </c>
      <c r="B23" s="32">
        <v>1</v>
      </c>
      <c r="C23" s="92">
        <v>8.3258333333333336</v>
      </c>
      <c r="D23" s="88">
        <v>4.1666666666666892E-3</v>
      </c>
      <c r="E23" s="89">
        <v>8.09</v>
      </c>
      <c r="F23" s="88">
        <v>0.91666666666666663</v>
      </c>
      <c r="G23" s="90">
        <v>2.8333333333333335</v>
      </c>
      <c r="H23" s="91">
        <v>12.538333333333334</v>
      </c>
      <c r="I23" s="88">
        <v>3.7233333333333332</v>
      </c>
      <c r="J23" s="88">
        <v>8.8149999999999977</v>
      </c>
      <c r="K23" s="88">
        <v>1.0833333333333333</v>
      </c>
      <c r="L23" s="90">
        <v>1.9166666666666667</v>
      </c>
      <c r="M23" s="91">
        <v>9.4833333333333325</v>
      </c>
      <c r="N23" s="88">
        <v>0.15083333333333368</v>
      </c>
      <c r="O23" s="88">
        <v>9.3324999999999996</v>
      </c>
      <c r="P23" s="88">
        <v>2</v>
      </c>
      <c r="Q23" s="90">
        <v>2.3333333333333335</v>
      </c>
      <c r="R23" s="91">
        <v>7.140833333333334</v>
      </c>
      <c r="S23" s="88">
        <v>2.249166666666667</v>
      </c>
      <c r="T23" s="88">
        <v>4.8916666666666675</v>
      </c>
      <c r="U23" s="88">
        <v>1.4166666666666667</v>
      </c>
      <c r="V23" s="90">
        <v>1.25</v>
      </c>
      <c r="W23" s="91">
        <v>4.701666666666668</v>
      </c>
      <c r="X23" s="88">
        <v>4.8841666666666672</v>
      </c>
      <c r="Y23" s="88">
        <v>-0.18249999999999966</v>
      </c>
      <c r="Z23" s="88">
        <v>0.83333333333333337</v>
      </c>
      <c r="AA23" s="90">
        <v>1.4166666666666667</v>
      </c>
    </row>
    <row r="24" spans="1:27" ht="16.5" thickTop="1" thickBot="1" x14ac:dyDescent="0.3">
      <c r="A24" s="31" t="s">
        <v>37</v>
      </c>
      <c r="B24" s="32">
        <v>1</v>
      </c>
      <c r="C24" s="87">
        <v>4.63</v>
      </c>
      <c r="D24" s="88">
        <v>-1.5000000000000124E-2</v>
      </c>
      <c r="E24" s="89">
        <v>4.6250000000000009</v>
      </c>
      <c r="F24" s="88">
        <v>-1.5</v>
      </c>
      <c r="G24" s="90">
        <v>-1</v>
      </c>
      <c r="H24" s="91">
        <v>3.67</v>
      </c>
      <c r="I24" s="88">
        <v>-4.9999999999998934E-3</v>
      </c>
      <c r="J24" s="88">
        <v>0.10499999999999865</v>
      </c>
      <c r="K24" s="88">
        <v>0</v>
      </c>
      <c r="L24" s="90">
        <v>0</v>
      </c>
      <c r="M24" s="91">
        <v>2.4649999999999999</v>
      </c>
      <c r="N24" s="88">
        <v>-1.2149999999999999</v>
      </c>
      <c r="O24" s="88">
        <v>2.5050000000000008</v>
      </c>
      <c r="P24" s="88">
        <v>-2</v>
      </c>
      <c r="Q24" s="90">
        <v>-2</v>
      </c>
      <c r="R24" s="91">
        <v>5.835</v>
      </c>
      <c r="S24" s="88">
        <v>2.2204460492503131E-16</v>
      </c>
      <c r="T24" s="88">
        <v>2.6349999999999989</v>
      </c>
      <c r="U24" s="88">
        <v>0</v>
      </c>
      <c r="V24" s="90">
        <v>0</v>
      </c>
      <c r="W24" s="91">
        <v>-0.43000000000000149</v>
      </c>
      <c r="X24" s="88">
        <v>4.25</v>
      </c>
      <c r="Y24" s="88">
        <v>-4.3449999999999989</v>
      </c>
      <c r="Z24" s="88">
        <v>-1</v>
      </c>
      <c r="AA24" s="90">
        <v>-0.5</v>
      </c>
    </row>
    <row r="25" spans="1:27" ht="16.5" thickTop="1" thickBot="1" x14ac:dyDescent="0.3">
      <c r="A25" s="31" t="s">
        <v>13</v>
      </c>
      <c r="B25" s="32">
        <v>1</v>
      </c>
      <c r="C25" s="87">
        <v>8.9400000000000013</v>
      </c>
      <c r="D25" s="88">
        <v>0</v>
      </c>
      <c r="E25" s="89">
        <v>8.9450000000000003</v>
      </c>
      <c r="F25" s="88">
        <v>1</v>
      </c>
      <c r="G25" s="90">
        <v>4</v>
      </c>
      <c r="H25" s="91">
        <v>8.4599999999999991</v>
      </c>
      <c r="I25" s="88">
        <v>4.2699999999999996</v>
      </c>
      <c r="J25" s="88">
        <v>6.719999999999998</v>
      </c>
      <c r="K25" s="88">
        <v>1.5</v>
      </c>
      <c r="L25" s="90">
        <v>2.5</v>
      </c>
      <c r="M25" s="91">
        <v>7.2249999999999961</v>
      </c>
      <c r="N25" s="88">
        <v>-4.9999999999999822E-2</v>
      </c>
      <c r="O25" s="88">
        <v>7.639999999999997</v>
      </c>
      <c r="P25" s="88">
        <v>2</v>
      </c>
      <c r="Q25" s="90">
        <v>1</v>
      </c>
      <c r="R25" s="91">
        <v>6.4550000000000001</v>
      </c>
      <c r="S25" s="88">
        <v>1.5649999999999999</v>
      </c>
      <c r="T25" s="88">
        <v>4.6700000000000008</v>
      </c>
      <c r="U25" s="88">
        <v>1</v>
      </c>
      <c r="V25" s="90">
        <v>1</v>
      </c>
      <c r="W25" s="91">
        <v>6.1350000000000016</v>
      </c>
      <c r="X25" s="88">
        <v>5.3250000000000011</v>
      </c>
      <c r="Y25" s="88">
        <v>0.43000000000000327</v>
      </c>
      <c r="Z25" s="88">
        <v>0</v>
      </c>
      <c r="AA25" s="90">
        <v>0.5</v>
      </c>
    </row>
    <row r="26" spans="1:27" ht="16.5" thickTop="1" thickBot="1" x14ac:dyDescent="0.3">
      <c r="A26" s="31" t="s">
        <v>39</v>
      </c>
      <c r="B26" s="32">
        <v>1</v>
      </c>
      <c r="C26" s="87">
        <v>10.920000000000002</v>
      </c>
      <c r="D26" s="88">
        <v>3.0000000000000027E-2</v>
      </c>
      <c r="E26" s="89">
        <v>10.66</v>
      </c>
      <c r="F26" s="88">
        <v>2</v>
      </c>
      <c r="G26" s="90">
        <v>5</v>
      </c>
      <c r="H26" s="91">
        <v>12.924999999999999</v>
      </c>
      <c r="I26" s="88">
        <v>5.34</v>
      </c>
      <c r="J26" s="88">
        <v>7.8100000000000005</v>
      </c>
      <c r="K26" s="88">
        <v>2.5</v>
      </c>
      <c r="L26" s="90">
        <v>4.5</v>
      </c>
      <c r="M26" s="91">
        <v>16.93</v>
      </c>
      <c r="N26" s="88">
        <v>0</v>
      </c>
      <c r="O26" s="88">
        <v>18.084999999999997</v>
      </c>
      <c r="P26" s="88">
        <v>5</v>
      </c>
      <c r="Q26" s="90">
        <v>5</v>
      </c>
      <c r="R26" s="91">
        <v>9.629999999999999</v>
      </c>
      <c r="S26" s="88">
        <v>5.2249999999999996</v>
      </c>
      <c r="T26" s="88">
        <v>6.3400000000000016</v>
      </c>
      <c r="U26" s="88">
        <v>2</v>
      </c>
      <c r="V26" s="90">
        <v>2</v>
      </c>
      <c r="W26" s="91">
        <v>9.4050000000000011</v>
      </c>
      <c r="X26" s="88">
        <v>7.4850000000000012</v>
      </c>
      <c r="Y26" s="88">
        <v>2.8249999999999975</v>
      </c>
      <c r="Z26" s="88">
        <v>3</v>
      </c>
      <c r="AA26" s="90">
        <v>5</v>
      </c>
    </row>
    <row r="27" spans="1:27" ht="16.5" thickTop="1" thickBot="1" x14ac:dyDescent="0.3">
      <c r="A27" s="31" t="s">
        <v>23</v>
      </c>
      <c r="B27" s="32">
        <v>1</v>
      </c>
      <c r="C27" s="53">
        <v>18.71</v>
      </c>
      <c r="D27" s="52">
        <v>8.0000000000000071E-2</v>
      </c>
      <c r="E27" s="75">
        <v>18.670000000000002</v>
      </c>
      <c r="F27" s="52">
        <v>8</v>
      </c>
      <c r="G27" s="78">
        <v>7</v>
      </c>
      <c r="H27" s="56">
        <v>73.88000000000001</v>
      </c>
      <c r="I27" s="52">
        <v>8.6500000000000021</v>
      </c>
      <c r="J27" s="52">
        <v>73.77000000000001</v>
      </c>
      <c r="K27" s="52">
        <v>14</v>
      </c>
      <c r="L27" s="78">
        <v>14</v>
      </c>
      <c r="M27" s="56">
        <v>29.209999999999994</v>
      </c>
      <c r="N27" s="52">
        <v>9.2199999999999989</v>
      </c>
      <c r="O27" s="52">
        <v>38.419999999999995</v>
      </c>
      <c r="P27" s="52">
        <v>15</v>
      </c>
      <c r="Q27" s="78">
        <v>23</v>
      </c>
      <c r="R27" s="56">
        <v>13.899999999999999</v>
      </c>
      <c r="S27" s="52">
        <v>6.04</v>
      </c>
      <c r="T27" s="52">
        <v>15.479999999999999</v>
      </c>
      <c r="U27" s="52">
        <v>6</v>
      </c>
      <c r="V27" s="78">
        <v>7</v>
      </c>
      <c r="W27" s="56">
        <v>18.850000000000001</v>
      </c>
      <c r="X27" s="52">
        <v>19.97</v>
      </c>
      <c r="Y27" s="52">
        <v>16.400000000000006</v>
      </c>
      <c r="Z27" s="52">
        <v>11</v>
      </c>
      <c r="AA27" s="78">
        <v>10</v>
      </c>
    </row>
    <row r="28" spans="1:27" ht="16.5" thickTop="1" thickBot="1" x14ac:dyDescent="0.3">
      <c r="A28" s="31" t="s">
        <v>44</v>
      </c>
      <c r="B28" s="32">
        <v>1</v>
      </c>
      <c r="C28" s="94">
        <v>-0.92000000000000171</v>
      </c>
      <c r="D28" s="95">
        <v>-2.9999999999999805E-2</v>
      </c>
      <c r="E28" s="96">
        <v>-0.89000000000000057</v>
      </c>
      <c r="F28" s="95">
        <v>-2</v>
      </c>
      <c r="G28" s="97">
        <v>-1</v>
      </c>
      <c r="H28" s="98">
        <v>-4.0600000000000023</v>
      </c>
      <c r="I28" s="95">
        <v>-6.9999999999999396E-2</v>
      </c>
      <c r="J28" s="95">
        <v>-8.350000000000005</v>
      </c>
      <c r="K28" s="95">
        <v>-8</v>
      </c>
      <c r="L28" s="97">
        <v>-8</v>
      </c>
      <c r="M28" s="98">
        <v>-3.259999999999998</v>
      </c>
      <c r="N28" s="95">
        <v>-1.2899999999999991</v>
      </c>
      <c r="O28" s="95">
        <v>-11.189999999999998</v>
      </c>
      <c r="P28" s="95">
        <v>-4</v>
      </c>
      <c r="Q28" s="97">
        <v>-8</v>
      </c>
      <c r="R28" s="98">
        <v>-1.0899999999999999</v>
      </c>
      <c r="S28" s="95">
        <v>-8.0000000000000071E-2</v>
      </c>
      <c r="T28" s="95">
        <v>-2.66</v>
      </c>
      <c r="U28" s="95">
        <v>-1</v>
      </c>
      <c r="V28" s="97">
        <v>-3</v>
      </c>
      <c r="W28" s="98">
        <v>-4.75</v>
      </c>
      <c r="X28" s="95">
        <v>-8.51</v>
      </c>
      <c r="Y28" s="95">
        <v>-6.5900000000000034</v>
      </c>
      <c r="Z28" s="95">
        <v>-5</v>
      </c>
      <c r="AA28" s="97">
        <v>-4</v>
      </c>
    </row>
    <row r="29" spans="1:27" ht="16.5" thickTop="1" thickBot="1" x14ac:dyDescent="0.3">
      <c r="A29" s="31" t="s">
        <v>45</v>
      </c>
      <c r="B29" s="32">
        <v>1</v>
      </c>
      <c r="C29" s="94">
        <v>17.79</v>
      </c>
      <c r="D29" s="95">
        <v>5.0000000000000266E-2</v>
      </c>
      <c r="E29" s="96">
        <v>17.78</v>
      </c>
      <c r="F29" s="95">
        <v>6</v>
      </c>
      <c r="G29" s="97">
        <v>6</v>
      </c>
      <c r="H29" s="98">
        <v>69.820000000000007</v>
      </c>
      <c r="I29" s="95">
        <v>8.5800000000000018</v>
      </c>
      <c r="J29" s="95">
        <v>65.42</v>
      </c>
      <c r="K29" s="95">
        <v>6</v>
      </c>
      <c r="L29" s="97">
        <v>6</v>
      </c>
      <c r="M29" s="98">
        <v>25.949999999999996</v>
      </c>
      <c r="N29" s="95">
        <v>7.93</v>
      </c>
      <c r="O29" s="95">
        <v>27.229999999999997</v>
      </c>
      <c r="P29" s="95">
        <v>11</v>
      </c>
      <c r="Q29" s="97">
        <v>15</v>
      </c>
      <c r="R29" s="98">
        <v>12.809999999999999</v>
      </c>
      <c r="S29" s="95">
        <v>5.96</v>
      </c>
      <c r="T29" s="95">
        <v>12.819999999999999</v>
      </c>
      <c r="U29" s="95">
        <v>5</v>
      </c>
      <c r="V29" s="97">
        <v>4</v>
      </c>
      <c r="W29" s="98">
        <v>14.100000000000001</v>
      </c>
      <c r="X29" s="95">
        <v>11.46</v>
      </c>
      <c r="Y29" s="95">
        <v>9.8100000000000023</v>
      </c>
      <c r="Z29" s="95">
        <v>6</v>
      </c>
      <c r="AA29" s="97">
        <v>6</v>
      </c>
    </row>
    <row r="30" spans="1:27" ht="16.5" thickTop="1" thickBot="1" x14ac:dyDescent="0.3">
      <c r="A30" s="31" t="s">
        <v>38</v>
      </c>
      <c r="B30" s="32">
        <v>1</v>
      </c>
      <c r="C30" s="53">
        <v>4.7691988466501263</v>
      </c>
      <c r="D30" s="52">
        <v>2.215789300051391E-2</v>
      </c>
      <c r="E30" s="75">
        <v>4.5807059135756214</v>
      </c>
      <c r="F30" s="52">
        <v>2.4309920243024701</v>
      </c>
      <c r="G30" s="78">
        <v>2.733536577809454</v>
      </c>
      <c r="H30" s="56">
        <v>18.202665021608485</v>
      </c>
      <c r="I30" s="52">
        <v>3.0401379720152324</v>
      </c>
      <c r="J30" s="52">
        <v>17.806883734481264</v>
      </c>
      <c r="K30" s="52">
        <v>3.4751099103321743</v>
      </c>
      <c r="L30" s="78">
        <v>3.6391009268163419</v>
      </c>
      <c r="M30" s="56">
        <v>9.4823162899273843</v>
      </c>
      <c r="N30" s="52">
        <v>2.4145960957384891</v>
      </c>
      <c r="O30" s="52">
        <v>11.05320324988794</v>
      </c>
      <c r="P30" s="52">
        <v>3.6514837167011076</v>
      </c>
      <c r="Q30" s="78">
        <v>5.4518090779320421</v>
      </c>
      <c r="R30" s="56">
        <v>3.4287496708793941</v>
      </c>
      <c r="S30" s="52">
        <v>2.4584529631909211</v>
      </c>
      <c r="T30" s="52">
        <v>3.8261552358586925</v>
      </c>
      <c r="U30" s="52">
        <v>1.6051133570215186</v>
      </c>
      <c r="V30" s="78">
        <v>1.8763883748662837</v>
      </c>
      <c r="W30" s="56">
        <v>5.7399721737614335</v>
      </c>
      <c r="X30" s="52">
        <v>4.7092275699477035</v>
      </c>
      <c r="Y30" s="52">
        <v>4.6585318234396551</v>
      </c>
      <c r="Z30" s="52">
        <v>2.7938424357067015</v>
      </c>
      <c r="AA30" s="78">
        <v>3.2004773949452532</v>
      </c>
    </row>
    <row r="31" spans="1:27" ht="16.5" thickTop="1" thickBot="1" x14ac:dyDescent="0.3">
      <c r="A31" s="31" t="s">
        <v>24</v>
      </c>
      <c r="B31" s="32">
        <v>1</v>
      </c>
      <c r="C31" s="53">
        <v>2.1838495476223003</v>
      </c>
      <c r="D31" s="52">
        <v>0.14885527535332402</v>
      </c>
      <c r="E31" s="75">
        <v>2.1402583754247106</v>
      </c>
      <c r="F31" s="52">
        <v>1.5591638862872852</v>
      </c>
      <c r="G31" s="78">
        <v>1.6533410349378781</v>
      </c>
      <c r="H31" s="56">
        <v>4.2664581354571478</v>
      </c>
      <c r="I31" s="52">
        <v>1.7435991431562567</v>
      </c>
      <c r="J31" s="52">
        <v>4.2198203438631445</v>
      </c>
      <c r="K31" s="52">
        <v>1.864164668244781</v>
      </c>
      <c r="L31" s="78">
        <v>1.9076427670862126</v>
      </c>
      <c r="M31" s="56">
        <v>3.0793369886921087</v>
      </c>
      <c r="N31" s="52">
        <v>1.553897067291939</v>
      </c>
      <c r="O31" s="52">
        <v>3.3246358071054849</v>
      </c>
      <c r="P31" s="52">
        <v>1.9108855844087336</v>
      </c>
      <c r="Q31" s="78">
        <v>2.3349109357600861</v>
      </c>
      <c r="R31" s="56">
        <v>1.8516883298437117</v>
      </c>
      <c r="S31" s="52">
        <v>1.5679454592526236</v>
      </c>
      <c r="T31" s="52">
        <v>1.9560560410833563</v>
      </c>
      <c r="U31" s="52">
        <v>1.2669306835898793</v>
      </c>
      <c r="V31" s="78">
        <v>1.3698132627720772</v>
      </c>
      <c r="W31" s="56">
        <v>2.3958239029113626</v>
      </c>
      <c r="X31" s="52">
        <v>2.1700754756339014</v>
      </c>
      <c r="Y31" s="52">
        <v>2.1583632278742275</v>
      </c>
      <c r="Z31" s="52">
        <v>1.6714791161443512</v>
      </c>
      <c r="AA31" s="78">
        <v>1.7889878129672245</v>
      </c>
    </row>
    <row r="32" spans="1:27" ht="16.5" thickTop="1" thickBot="1" x14ac:dyDescent="0.3">
      <c r="A32" s="31" t="s">
        <v>42</v>
      </c>
      <c r="B32" s="32">
        <v>1</v>
      </c>
      <c r="C32" s="53">
        <v>26.22980139272105</v>
      </c>
      <c r="D32" s="52">
        <v>0</v>
      </c>
      <c r="E32" s="75">
        <v>26.455604146164532</v>
      </c>
      <c r="F32" s="52">
        <v>170.09060577679475</v>
      </c>
      <c r="G32" s="78">
        <v>58.353212997807461</v>
      </c>
      <c r="H32" s="56">
        <v>34.027314652057541</v>
      </c>
      <c r="I32" s="52">
        <v>46.828983253972879</v>
      </c>
      <c r="J32" s="52">
        <v>47.87090577269592</v>
      </c>
      <c r="K32" s="52">
        <v>172.07673860721056</v>
      </c>
      <c r="L32" s="78">
        <v>99.529187847976303</v>
      </c>
      <c r="M32" s="56">
        <v>32.471040302552993</v>
      </c>
      <c r="N32" s="52">
        <v>1030.2080004145428</v>
      </c>
      <c r="O32" s="52">
        <v>35.624278672440234</v>
      </c>
      <c r="P32" s="52">
        <v>95.544279220436678</v>
      </c>
      <c r="Q32" s="78">
        <v>100.06761153257511</v>
      </c>
      <c r="R32" s="56">
        <v>25.930983729868757</v>
      </c>
      <c r="S32" s="52">
        <v>69.712284220198157</v>
      </c>
      <c r="T32" s="52">
        <v>39.98751702385055</v>
      </c>
      <c r="U32" s="52">
        <v>89.430401194579701</v>
      </c>
      <c r="V32" s="78">
        <v>109.58506102176617</v>
      </c>
      <c r="W32" s="56">
        <v>50.956906832570617</v>
      </c>
      <c r="X32" s="52">
        <v>44.430823592572622</v>
      </c>
      <c r="Y32" s="52">
        <v>-1182.6647823968392</v>
      </c>
      <c r="Z32" s="52">
        <v>200.57749393732215</v>
      </c>
      <c r="AA32" s="78">
        <v>126.28149268003938</v>
      </c>
    </row>
    <row r="33" spans="1:27" ht="16.5" thickTop="1" thickBot="1" x14ac:dyDescent="0.3">
      <c r="A33" s="31" t="s">
        <v>40</v>
      </c>
      <c r="B33" s="32">
        <v>1</v>
      </c>
      <c r="C33" s="82">
        <v>8.84958237892398</v>
      </c>
      <c r="D33" s="83">
        <v>1.8241481290987444E-4</v>
      </c>
      <c r="E33" s="84">
        <v>21.564131033452128</v>
      </c>
      <c r="F33" s="83">
        <v>-1.8195491934622345</v>
      </c>
      <c r="G33" s="85">
        <v>-15.123487664751604</v>
      </c>
      <c r="H33" s="86">
        <v>3588.7831249144674</v>
      </c>
      <c r="I33" s="83">
        <v>-11.760337750927055</v>
      </c>
      <c r="J33" s="83">
        <v>3637.6085903464818</v>
      </c>
      <c r="K33" s="83">
        <v>46.611239479324631</v>
      </c>
      <c r="L33" s="85">
        <v>59.933870429518002</v>
      </c>
      <c r="M33" s="86">
        <v>-90.122263609268003</v>
      </c>
      <c r="N33" s="83">
        <v>71.465538686375851</v>
      </c>
      <c r="O33" s="83">
        <v>-62.109341085410442</v>
      </c>
      <c r="P33" s="83">
        <v>34.185454545454547</v>
      </c>
      <c r="Q33" s="85">
        <v>60.909430756159743</v>
      </c>
      <c r="R33" s="86">
        <v>24.312441587294138</v>
      </c>
      <c r="S33" s="83">
        <v>-10.766109965626285</v>
      </c>
      <c r="T33" s="83">
        <v>18.111822587315647</v>
      </c>
      <c r="U33" s="83">
        <v>1.33085028179368</v>
      </c>
      <c r="V33" s="85">
        <v>3.5972027972027973</v>
      </c>
      <c r="W33" s="86">
        <v>-48.319784827026581</v>
      </c>
      <c r="X33" s="83">
        <v>138.90154747345485</v>
      </c>
      <c r="Y33" s="83">
        <v>2.0887445344037778</v>
      </c>
      <c r="Z33" s="83">
        <v>3.9645422193465003</v>
      </c>
      <c r="AA33" s="85">
        <v>-14.864320493066248</v>
      </c>
    </row>
    <row r="34" spans="1:27" ht="15.75" thickTop="1" x14ac:dyDescent="0.25">
      <c r="A34" s="31" t="s">
        <v>41</v>
      </c>
      <c r="B34" s="32">
        <v>1</v>
      </c>
      <c r="C34" s="82">
        <v>0.20852655371772399</v>
      </c>
      <c r="D34" s="83">
        <v>2.8605018890322811E-3</v>
      </c>
      <c r="E34" s="84">
        <v>0.88400442152192216</v>
      </c>
      <c r="F34" s="83">
        <v>2.3812684808751268</v>
      </c>
      <c r="G34" s="85">
        <v>-2.2957917013696378</v>
      </c>
      <c r="H34" s="86">
        <v>251.71065862821553</v>
      </c>
      <c r="I34" s="83">
        <v>0.58720758397066752</v>
      </c>
      <c r="J34" s="83">
        <v>251.75371680130127</v>
      </c>
      <c r="K34" s="83">
        <v>-8.676449373982118</v>
      </c>
      <c r="L34" s="85">
        <v>-12.874228791775492</v>
      </c>
      <c r="M34" s="86">
        <v>19.491909227772879</v>
      </c>
      <c r="N34" s="83">
        <v>13.316392204739611</v>
      </c>
      <c r="O34" s="83">
        <v>5.2878572816593419</v>
      </c>
      <c r="P34" s="83">
        <v>7.5983759510943649</v>
      </c>
      <c r="Q34" s="85">
        <v>8.1833371277167775</v>
      </c>
      <c r="R34" s="86">
        <v>-5.0084101661370903</v>
      </c>
      <c r="S34" s="83">
        <v>2.8658871255379115</v>
      </c>
      <c r="T34" s="83">
        <v>2.3457808740747601</v>
      </c>
      <c r="U34" s="83">
        <v>1.6890753401803014</v>
      </c>
      <c r="V34" s="85">
        <v>-1.4801941270879766</v>
      </c>
      <c r="W34" s="86">
        <v>-0.83579853973706653</v>
      </c>
      <c r="X34" s="83">
        <v>-21.581118891843762</v>
      </c>
      <c r="Y34" s="83">
        <v>4.5180017704151298</v>
      </c>
      <c r="Z34" s="83">
        <v>-0.63333430631778043</v>
      </c>
      <c r="AA34" s="85">
        <v>-0.56233207063993085</v>
      </c>
    </row>
    <row r="41" spans="1:27" x14ac:dyDescent="0.25">
      <c r="A41" s="5"/>
      <c r="B41" s="33" t="s">
        <v>16</v>
      </c>
      <c r="C41" s="49"/>
      <c r="D41" s="50"/>
      <c r="E41" s="50" t="s">
        <v>3</v>
      </c>
      <c r="F41" s="50"/>
      <c r="G41" s="76"/>
      <c r="H41" s="54"/>
      <c r="I41" s="54"/>
      <c r="J41" s="54" t="s">
        <v>4</v>
      </c>
      <c r="K41" s="54"/>
      <c r="L41" s="79"/>
      <c r="M41" s="50"/>
      <c r="N41" s="50"/>
      <c r="O41" s="50" t="s">
        <v>5</v>
      </c>
      <c r="P41" s="50"/>
      <c r="Q41" s="76"/>
      <c r="R41" s="54"/>
      <c r="S41" s="54"/>
      <c r="T41" s="54" t="s">
        <v>6</v>
      </c>
      <c r="U41" s="54"/>
      <c r="V41" s="79"/>
      <c r="W41" s="50"/>
      <c r="X41" s="50"/>
      <c r="Y41" s="50" t="s">
        <v>35</v>
      </c>
      <c r="Z41" s="50"/>
      <c r="AA41" s="81"/>
    </row>
    <row r="42" spans="1:27" ht="15.75" thickBot="1" x14ac:dyDescent="0.3">
      <c r="A42" s="12"/>
      <c r="B42" s="18"/>
      <c r="C42" s="51" t="s">
        <v>7</v>
      </c>
      <c r="D42" s="51" t="s">
        <v>8</v>
      </c>
      <c r="E42" s="51" t="s">
        <v>36</v>
      </c>
      <c r="F42" s="51" t="s">
        <v>10</v>
      </c>
      <c r="G42" s="77" t="s">
        <v>9</v>
      </c>
      <c r="H42" s="55" t="s">
        <v>7</v>
      </c>
      <c r="I42" s="55" t="s">
        <v>8</v>
      </c>
      <c r="J42" s="55" t="s">
        <v>36</v>
      </c>
      <c r="K42" s="55" t="s">
        <v>10</v>
      </c>
      <c r="L42" s="80" t="s">
        <v>9</v>
      </c>
      <c r="M42" s="51" t="s">
        <v>7</v>
      </c>
      <c r="N42" s="51" t="s">
        <v>8</v>
      </c>
      <c r="O42" s="51" t="s">
        <v>36</v>
      </c>
      <c r="P42" s="51" t="s">
        <v>10</v>
      </c>
      <c r="Q42" s="77" t="s">
        <v>9</v>
      </c>
      <c r="R42" s="55" t="s">
        <v>7</v>
      </c>
      <c r="S42" s="55" t="s">
        <v>8</v>
      </c>
      <c r="T42" s="55" t="s">
        <v>36</v>
      </c>
      <c r="U42" s="55" t="s">
        <v>10</v>
      </c>
      <c r="V42" s="80" t="s">
        <v>9</v>
      </c>
      <c r="W42" s="51" t="s">
        <v>7</v>
      </c>
      <c r="X42" s="51" t="s">
        <v>8</v>
      </c>
      <c r="Y42" s="51" t="s">
        <v>36</v>
      </c>
      <c r="Z42" s="51" t="s">
        <v>10</v>
      </c>
      <c r="AA42" s="77" t="s">
        <v>9</v>
      </c>
    </row>
    <row r="43" spans="1:27" ht="16.5" thickTop="1" thickBot="1" x14ac:dyDescent="0.3">
      <c r="A43" s="31" t="s">
        <v>14</v>
      </c>
      <c r="B43" s="32">
        <v>1</v>
      </c>
      <c r="C43" s="92">
        <v>8.6288888888888877</v>
      </c>
      <c r="D43" s="88">
        <v>-1.7777777777777795E-2</v>
      </c>
      <c r="E43" s="89">
        <v>8.6466666666666683</v>
      </c>
      <c r="F43" s="88">
        <v>0.44444444444444442</v>
      </c>
      <c r="G43" s="90">
        <v>2.5555555555555554</v>
      </c>
      <c r="H43" s="91">
        <v>8.4322222222222223</v>
      </c>
      <c r="I43" s="88">
        <v>4.5422222222222217</v>
      </c>
      <c r="J43" s="88">
        <v>3.8900000000000015</v>
      </c>
      <c r="K43" s="88">
        <v>0.88888888888888884</v>
      </c>
      <c r="L43" s="90">
        <v>1.5555555555555556</v>
      </c>
      <c r="M43" s="91">
        <v>6.2688888888888892</v>
      </c>
      <c r="N43" s="88">
        <v>-0.23555555555555566</v>
      </c>
      <c r="O43" s="88">
        <v>6.5044444444444469</v>
      </c>
      <c r="P43" s="88">
        <v>0.55555555555555558</v>
      </c>
      <c r="Q43" s="90">
        <v>1</v>
      </c>
      <c r="R43" s="91">
        <v>6.8355555555555547</v>
      </c>
      <c r="S43" s="88">
        <v>1.8055555555555556</v>
      </c>
      <c r="T43" s="88">
        <v>5.0299999999999994</v>
      </c>
      <c r="U43" s="88">
        <v>0.88888888888888884</v>
      </c>
      <c r="V43" s="90">
        <v>1.8888888888888888</v>
      </c>
      <c r="W43" s="91">
        <v>-3.1777777777777776</v>
      </c>
      <c r="X43" s="88">
        <v>2.3633333333333333</v>
      </c>
      <c r="Y43" s="88">
        <v>-5.5411111111111104</v>
      </c>
      <c r="Z43" s="88">
        <v>0.55555555555555558</v>
      </c>
      <c r="AA43" s="90">
        <v>1.3333333333333333</v>
      </c>
    </row>
    <row r="44" spans="1:27" ht="16.5" thickTop="1" thickBot="1" x14ac:dyDescent="0.3">
      <c r="A44" s="31" t="s">
        <v>37</v>
      </c>
      <c r="B44" s="32">
        <v>1</v>
      </c>
      <c r="C44" s="87">
        <v>6.0200000000000014</v>
      </c>
      <c r="D44" s="88">
        <v>-4.0000000000000036E-2</v>
      </c>
      <c r="E44" s="89">
        <v>6.0300000000000011</v>
      </c>
      <c r="F44" s="88">
        <v>0</v>
      </c>
      <c r="G44" s="90">
        <v>-1</v>
      </c>
      <c r="H44" s="91">
        <v>5.23</v>
      </c>
      <c r="I44" s="88">
        <v>-1.9999999999999574E-2</v>
      </c>
      <c r="J44" s="88">
        <v>-5.4599999999999973</v>
      </c>
      <c r="K44" s="88">
        <v>0</v>
      </c>
      <c r="L44" s="90">
        <v>-1.5</v>
      </c>
      <c r="M44" s="91">
        <v>-6.9000000000000021</v>
      </c>
      <c r="N44" s="88">
        <v>-1.2100000000000009</v>
      </c>
      <c r="O44" s="88">
        <v>-6.9400000000000013</v>
      </c>
      <c r="P44" s="88">
        <v>0</v>
      </c>
      <c r="Q44" s="90">
        <v>-2</v>
      </c>
      <c r="R44" s="91">
        <v>3.9899999999999984</v>
      </c>
      <c r="S44" s="88">
        <v>-2.0000000000000018E-2</v>
      </c>
      <c r="T44" s="88">
        <v>2.4599999999999991</v>
      </c>
      <c r="U44" s="88">
        <v>0</v>
      </c>
      <c r="V44" s="90">
        <v>0</v>
      </c>
      <c r="W44" s="91">
        <v>-4.33</v>
      </c>
      <c r="X44" s="88">
        <v>9.9999999999997868E-3</v>
      </c>
      <c r="Y44" s="88">
        <v>-4.490000000000002</v>
      </c>
      <c r="Z44" s="88">
        <v>-1</v>
      </c>
      <c r="AA44" s="90">
        <v>0</v>
      </c>
    </row>
    <row r="45" spans="1:27" ht="16.5" thickTop="1" thickBot="1" x14ac:dyDescent="0.3">
      <c r="A45" s="31" t="s">
        <v>13</v>
      </c>
      <c r="B45" s="32">
        <v>1</v>
      </c>
      <c r="C45" s="87">
        <v>7.2999999999999989</v>
      </c>
      <c r="D45" s="88">
        <v>-1.0000000000000231E-2</v>
      </c>
      <c r="E45" s="89">
        <v>7.3099999999999987</v>
      </c>
      <c r="F45" s="88">
        <v>0</v>
      </c>
      <c r="G45" s="90">
        <v>1</v>
      </c>
      <c r="H45" s="91">
        <v>7.1700000000000017</v>
      </c>
      <c r="I45" s="88">
        <v>4.2899999999999991</v>
      </c>
      <c r="J45" s="88">
        <v>5.2000000000000011</v>
      </c>
      <c r="K45" s="88">
        <v>1</v>
      </c>
      <c r="L45" s="90">
        <v>1</v>
      </c>
      <c r="M45" s="91">
        <v>1.360000000000003</v>
      </c>
      <c r="N45" s="88">
        <v>3.0000000000001137E-2</v>
      </c>
      <c r="O45" s="88">
        <v>1.3700000000000045</v>
      </c>
      <c r="P45" s="88">
        <v>0</v>
      </c>
      <c r="Q45" s="90">
        <v>0</v>
      </c>
      <c r="R45" s="91">
        <v>4.3000000000000007</v>
      </c>
      <c r="S45" s="88">
        <v>-9.9999999999997868E-3</v>
      </c>
      <c r="T45" s="88">
        <v>2.76</v>
      </c>
      <c r="U45" s="88">
        <v>0</v>
      </c>
      <c r="V45" s="90">
        <v>1</v>
      </c>
      <c r="W45" s="91">
        <v>2.1799999999999997</v>
      </c>
      <c r="X45" s="88">
        <v>2.13</v>
      </c>
      <c r="Y45" s="88">
        <v>1.9999999999999574E-2</v>
      </c>
      <c r="Z45" s="88">
        <v>0</v>
      </c>
      <c r="AA45" s="90">
        <v>0</v>
      </c>
    </row>
    <row r="46" spans="1:27" ht="16.5" thickTop="1" thickBot="1" x14ac:dyDescent="0.3">
      <c r="A46" s="31" t="s">
        <v>39</v>
      </c>
      <c r="B46" s="32">
        <v>1</v>
      </c>
      <c r="C46" s="87">
        <v>9.64</v>
      </c>
      <c r="D46" s="88">
        <v>-4.9999999999998934E-3</v>
      </c>
      <c r="E46" s="89">
        <v>9.6300000000000026</v>
      </c>
      <c r="F46" s="88">
        <v>1</v>
      </c>
      <c r="G46" s="90">
        <v>3</v>
      </c>
      <c r="H46" s="91">
        <v>13.504999999999999</v>
      </c>
      <c r="I46" s="88">
        <v>4.3600000000000003</v>
      </c>
      <c r="J46" s="88">
        <v>7.1900000000000013</v>
      </c>
      <c r="K46" s="88">
        <v>2</v>
      </c>
      <c r="L46" s="90">
        <v>6</v>
      </c>
      <c r="M46" s="91">
        <v>8.0399999999999991</v>
      </c>
      <c r="N46" s="88">
        <v>4.0000000000000924E-2</v>
      </c>
      <c r="O46" s="88">
        <v>7.9599999999999991</v>
      </c>
      <c r="P46" s="88">
        <v>2.5</v>
      </c>
      <c r="Q46" s="90">
        <v>1</v>
      </c>
      <c r="R46" s="91">
        <v>9.68</v>
      </c>
      <c r="S46" s="88">
        <v>1.5299999999999994</v>
      </c>
      <c r="T46" s="88">
        <v>6.2299999999999986</v>
      </c>
      <c r="U46" s="88">
        <v>1</v>
      </c>
      <c r="V46" s="90">
        <v>3</v>
      </c>
      <c r="W46" s="91">
        <v>6.4199999999999982</v>
      </c>
      <c r="X46" s="88">
        <v>4.22</v>
      </c>
      <c r="Y46" s="88">
        <v>3.66</v>
      </c>
      <c r="Z46" s="88">
        <v>1</v>
      </c>
      <c r="AA46" s="90">
        <v>3</v>
      </c>
    </row>
    <row r="47" spans="1:27" ht="16.5" thickTop="1" thickBot="1" x14ac:dyDescent="0.3">
      <c r="A47" s="31" t="s">
        <v>23</v>
      </c>
      <c r="B47" s="32">
        <v>1</v>
      </c>
      <c r="C47" s="53">
        <v>14.709999999999999</v>
      </c>
      <c r="D47" s="52">
        <v>6.999999999999984E-2</v>
      </c>
      <c r="E47" s="75">
        <v>14.72</v>
      </c>
      <c r="F47" s="52">
        <v>2</v>
      </c>
      <c r="G47" s="78">
        <v>11</v>
      </c>
      <c r="H47" s="56">
        <v>19.21</v>
      </c>
      <c r="I47" s="52">
        <v>10.709999999999997</v>
      </c>
      <c r="J47" s="52">
        <v>23.46</v>
      </c>
      <c r="K47" s="52">
        <v>3</v>
      </c>
      <c r="L47" s="78">
        <v>12</v>
      </c>
      <c r="M47" s="56">
        <v>35.08</v>
      </c>
      <c r="N47" s="52">
        <v>1.2900000000000009</v>
      </c>
      <c r="O47" s="52">
        <v>36.35</v>
      </c>
      <c r="P47" s="52">
        <v>4</v>
      </c>
      <c r="Q47" s="78">
        <v>15</v>
      </c>
      <c r="R47" s="56">
        <v>18.669999999999995</v>
      </c>
      <c r="S47" s="52">
        <v>5.9699999999999989</v>
      </c>
      <c r="T47" s="52">
        <v>18.689999999999998</v>
      </c>
      <c r="U47" s="52">
        <v>2</v>
      </c>
      <c r="V47" s="78">
        <v>4</v>
      </c>
      <c r="W47" s="56">
        <v>77.679999999999978</v>
      </c>
      <c r="X47" s="52">
        <v>4.32</v>
      </c>
      <c r="Y47" s="52">
        <v>81.919999999999987</v>
      </c>
      <c r="Z47" s="52">
        <v>4</v>
      </c>
      <c r="AA47" s="78">
        <v>5</v>
      </c>
    </row>
    <row r="48" spans="1:27" ht="16.5" thickTop="1" thickBot="1" x14ac:dyDescent="0.3">
      <c r="A48" s="31" t="s">
        <v>44</v>
      </c>
      <c r="B48" s="32">
        <v>1</v>
      </c>
      <c r="C48" s="94">
        <v>-0.79999999999999716</v>
      </c>
      <c r="D48" s="95">
        <v>-6.0000000000000053E-2</v>
      </c>
      <c r="E48" s="96">
        <v>-0.79999999999999716</v>
      </c>
      <c r="F48" s="95">
        <v>0</v>
      </c>
      <c r="G48" s="97">
        <v>-1</v>
      </c>
      <c r="H48" s="98">
        <v>-3.3099999999999987</v>
      </c>
      <c r="I48" s="95">
        <v>-1.9999999999999574E-2</v>
      </c>
      <c r="J48" s="95">
        <v>-7.5999999999999979</v>
      </c>
      <c r="K48" s="95">
        <v>-1</v>
      </c>
      <c r="L48" s="97">
        <v>-2</v>
      </c>
      <c r="M48" s="98">
        <v>-10.100000000000001</v>
      </c>
      <c r="N48" s="95">
        <v>-1.2100000000000009</v>
      </c>
      <c r="O48" s="95">
        <v>-10.16</v>
      </c>
      <c r="P48" s="95">
        <v>0</v>
      </c>
      <c r="Q48" s="97">
        <v>-5</v>
      </c>
      <c r="R48" s="98">
        <v>-4.8199999999999985</v>
      </c>
      <c r="S48" s="95">
        <v>-3.9999999999999591E-2</v>
      </c>
      <c r="T48" s="95">
        <v>-4.7999999999999989</v>
      </c>
      <c r="U48" s="95">
        <v>0</v>
      </c>
      <c r="V48" s="97">
        <v>0</v>
      </c>
      <c r="W48" s="98">
        <v>-66.419999999999987</v>
      </c>
      <c r="X48" s="95">
        <v>-1.9999999999999574E-2</v>
      </c>
      <c r="Y48" s="95">
        <v>-70.639999999999986</v>
      </c>
      <c r="Z48" s="95">
        <v>-1</v>
      </c>
      <c r="AA48" s="97">
        <v>0</v>
      </c>
    </row>
    <row r="49" spans="1:27" ht="16.5" thickTop="1" thickBot="1" x14ac:dyDescent="0.3">
      <c r="A49" s="31" t="s">
        <v>45</v>
      </c>
      <c r="B49" s="32">
        <v>1</v>
      </c>
      <c r="C49" s="94">
        <v>13.910000000000002</v>
      </c>
      <c r="D49" s="95">
        <v>9.9999999999997868E-3</v>
      </c>
      <c r="E49" s="96">
        <v>13.920000000000003</v>
      </c>
      <c r="F49" s="95">
        <v>2</v>
      </c>
      <c r="G49" s="97">
        <v>10</v>
      </c>
      <c r="H49" s="98">
        <v>15.9</v>
      </c>
      <c r="I49" s="95">
        <v>10.689999999999998</v>
      </c>
      <c r="J49" s="95">
        <v>15.860000000000003</v>
      </c>
      <c r="K49" s="95">
        <v>2</v>
      </c>
      <c r="L49" s="97">
        <v>10</v>
      </c>
      <c r="M49" s="98">
        <v>24.98</v>
      </c>
      <c r="N49" s="95">
        <v>8.0000000000000071E-2</v>
      </c>
      <c r="O49" s="95">
        <v>26.19</v>
      </c>
      <c r="P49" s="95">
        <v>4</v>
      </c>
      <c r="Q49" s="97">
        <v>10</v>
      </c>
      <c r="R49" s="98">
        <v>13.849999999999998</v>
      </c>
      <c r="S49" s="95">
        <v>5.93</v>
      </c>
      <c r="T49" s="95">
        <v>13.889999999999999</v>
      </c>
      <c r="U49" s="95">
        <v>2</v>
      </c>
      <c r="V49" s="97">
        <v>4</v>
      </c>
      <c r="W49" s="98">
        <v>11.259999999999998</v>
      </c>
      <c r="X49" s="95">
        <v>4.3000000000000007</v>
      </c>
      <c r="Y49" s="95">
        <v>11.279999999999998</v>
      </c>
      <c r="Z49" s="95">
        <v>3</v>
      </c>
      <c r="AA49" s="97">
        <v>5</v>
      </c>
    </row>
    <row r="50" spans="1:27" ht="16.5" thickTop="1" thickBot="1" x14ac:dyDescent="0.3">
      <c r="A50" s="31" t="s">
        <v>38</v>
      </c>
      <c r="B50" s="32">
        <v>1</v>
      </c>
      <c r="C50" s="53">
        <v>4.2903391330456859</v>
      </c>
      <c r="D50" s="52">
        <v>2.0427529234278007E-2</v>
      </c>
      <c r="E50" s="75">
        <v>4.2925050960948203</v>
      </c>
      <c r="F50" s="52">
        <v>0.68493488921877521</v>
      </c>
      <c r="G50" s="78">
        <v>3.3701668640229112</v>
      </c>
      <c r="H50" s="56">
        <v>5.4350217780975871</v>
      </c>
      <c r="I50" s="52">
        <v>3.9634826935068594</v>
      </c>
      <c r="J50" s="52">
        <v>7.3738984111376107</v>
      </c>
      <c r="K50" s="52">
        <v>0.99380798999990649</v>
      </c>
      <c r="L50" s="78">
        <v>3.2010800646417632</v>
      </c>
      <c r="M50" s="56">
        <v>11.751059946938543</v>
      </c>
      <c r="N50" s="52">
        <v>0.5213894068546534</v>
      </c>
      <c r="O50" s="52">
        <v>12.195138476833128</v>
      </c>
      <c r="P50" s="52">
        <v>1.257078722109418</v>
      </c>
      <c r="Q50" s="78">
        <v>4.0276819911981905</v>
      </c>
      <c r="R50" s="56">
        <v>5.352795969524526</v>
      </c>
      <c r="S50" s="52">
        <v>2.2763670428075184</v>
      </c>
      <c r="T50" s="52">
        <v>5.0048265593214003</v>
      </c>
      <c r="U50" s="52">
        <v>0.87488976377909011</v>
      </c>
      <c r="V50" s="78">
        <v>1.3698697784375504</v>
      </c>
      <c r="W50" s="56">
        <v>22.976693398010358</v>
      </c>
      <c r="X50" s="52">
        <v>1.8514558835923931</v>
      </c>
      <c r="Y50" s="52">
        <v>23.51500393103397</v>
      </c>
      <c r="Z50" s="52">
        <v>1.0657403385139379</v>
      </c>
      <c r="AA50" s="78">
        <v>1.8257418583505538</v>
      </c>
    </row>
    <row r="51" spans="1:27" ht="16.5" thickTop="1" thickBot="1" x14ac:dyDescent="0.3">
      <c r="A51" s="31" t="s">
        <v>24</v>
      </c>
      <c r="B51" s="32">
        <v>1</v>
      </c>
      <c r="C51" s="53">
        <v>2.0713133835916007</v>
      </c>
      <c r="D51" s="52">
        <v>0.14292490767629695</v>
      </c>
      <c r="E51" s="75">
        <v>2.0718361653602875</v>
      </c>
      <c r="F51" s="52">
        <v>0.82760793206612948</v>
      </c>
      <c r="G51" s="78">
        <v>1.8358014228186312</v>
      </c>
      <c r="H51" s="56">
        <v>2.3313133161584236</v>
      </c>
      <c r="I51" s="52">
        <v>1.990849741569378</v>
      </c>
      <c r="J51" s="52">
        <v>2.7154922962766088</v>
      </c>
      <c r="K51" s="52">
        <v>0.99689918748081363</v>
      </c>
      <c r="L51" s="78">
        <v>1.7891562437757533</v>
      </c>
      <c r="M51" s="56">
        <v>3.4279819058651029</v>
      </c>
      <c r="N51" s="52">
        <v>0.72207299274703063</v>
      </c>
      <c r="O51" s="52">
        <v>3.4921538449548764</v>
      </c>
      <c r="P51" s="52">
        <v>1.1211952203382862</v>
      </c>
      <c r="Q51" s="78">
        <v>2.0069085657294381</v>
      </c>
      <c r="R51" s="56">
        <v>2.313611023816347</v>
      </c>
      <c r="S51" s="52">
        <v>1.5087634151209786</v>
      </c>
      <c r="T51" s="52">
        <v>2.2371469686458689</v>
      </c>
      <c r="U51" s="52">
        <v>0.93535542109889447</v>
      </c>
      <c r="V51" s="78">
        <v>1.1704143618554714</v>
      </c>
      <c r="W51" s="56">
        <v>4.7934010262036661</v>
      </c>
      <c r="X51" s="52">
        <v>1.3606821390730435</v>
      </c>
      <c r="Y51" s="52">
        <v>4.8492271478075732</v>
      </c>
      <c r="Z51" s="52">
        <v>1.0323470048941576</v>
      </c>
      <c r="AA51" s="78">
        <v>1.3512001548070345</v>
      </c>
    </row>
    <row r="52" spans="1:27" ht="16.5" thickTop="1" thickBot="1" x14ac:dyDescent="0.3">
      <c r="A52" s="31" t="s">
        <v>42</v>
      </c>
      <c r="B52" s="32">
        <v>1</v>
      </c>
      <c r="C52" s="53">
        <v>24.004404393927903</v>
      </c>
      <c r="D52" s="52">
        <v>0</v>
      </c>
      <c r="E52" s="75">
        <v>23.961096746649428</v>
      </c>
      <c r="F52" s="52">
        <v>186.21178471487914</v>
      </c>
      <c r="G52" s="78">
        <v>71.835707849424708</v>
      </c>
      <c r="H52" s="56">
        <v>27.647674061702219</v>
      </c>
      <c r="I52" s="52">
        <v>43.829862216546978</v>
      </c>
      <c r="J52" s="52">
        <v>69.806999904282975</v>
      </c>
      <c r="K52" s="52">
        <v>112.15115859159154</v>
      </c>
      <c r="L52" s="78">
        <v>115.01718709986986</v>
      </c>
      <c r="M52" s="56">
        <v>54.682447984377745</v>
      </c>
      <c r="N52" s="52">
        <v>-306.54042144921101</v>
      </c>
      <c r="O52" s="52">
        <v>53.688733523392337</v>
      </c>
      <c r="P52" s="52">
        <v>201.8151396608915</v>
      </c>
      <c r="Q52" s="78">
        <v>200.6908565729438</v>
      </c>
      <c r="R52" s="56">
        <v>33.846715237885448</v>
      </c>
      <c r="S52" s="52">
        <v>83.562281452854194</v>
      </c>
      <c r="T52" s="52">
        <v>44.476082875663401</v>
      </c>
      <c r="U52" s="52">
        <v>105.22748487362563</v>
      </c>
      <c r="V52" s="78">
        <v>61.963113274701428</v>
      </c>
      <c r="W52" s="56">
        <v>-150.8412910343811</v>
      </c>
      <c r="X52" s="52">
        <v>57.574702640608329</v>
      </c>
      <c r="Y52" s="52">
        <v>-87.513624083152521</v>
      </c>
      <c r="Z52" s="52">
        <v>185.82246088094837</v>
      </c>
      <c r="AA52" s="78">
        <v>101.3400116105276</v>
      </c>
    </row>
    <row r="53" spans="1:27" ht="16.5" thickTop="1" thickBot="1" x14ac:dyDescent="0.3">
      <c r="A53" s="31" t="s">
        <v>40</v>
      </c>
      <c r="B53" s="32">
        <v>1</v>
      </c>
      <c r="C53" s="82">
        <v>32.808201150757498</v>
      </c>
      <c r="D53" s="83">
        <v>2.5229289940829588E-4</v>
      </c>
      <c r="E53" s="84">
        <v>33.314763294352787</v>
      </c>
      <c r="F53" s="83">
        <v>0.8712406015037597</v>
      </c>
      <c r="G53" s="85">
        <v>18.723214285714295</v>
      </c>
      <c r="H53" s="86">
        <v>48.990330099935797</v>
      </c>
      <c r="I53" s="83">
        <v>-20.579309504567789</v>
      </c>
      <c r="J53" s="83">
        <v>-63.579240759232349</v>
      </c>
      <c r="K53" s="83">
        <v>-0.68303571428571186</v>
      </c>
      <c r="L53" s="85">
        <v>78.941695352839957</v>
      </c>
      <c r="M53" s="86">
        <v>-120.53887659901628</v>
      </c>
      <c r="N53" s="83">
        <v>0.24758472643203641</v>
      </c>
      <c r="O53" s="83">
        <v>-116.3552752480384</v>
      </c>
      <c r="P53" s="83">
        <v>14.8359375</v>
      </c>
      <c r="Q53" s="85">
        <v>39.920988258317031</v>
      </c>
      <c r="R53" s="86">
        <v>40.266853094844727</v>
      </c>
      <c r="S53" s="83">
        <v>0.57988666580817927</v>
      </c>
      <c r="T53" s="83">
        <v>27.924922977783716</v>
      </c>
      <c r="U53" s="83">
        <v>-1.9544930875576039</v>
      </c>
      <c r="V53" s="85">
        <v>-3.5568609022556394</v>
      </c>
      <c r="W53" s="86">
        <v>5125.1283305606767</v>
      </c>
      <c r="X53" s="83">
        <v>-8.7133069013160025</v>
      </c>
      <c r="Y53" s="83">
        <v>5563.762806439946</v>
      </c>
      <c r="Z53" s="83">
        <v>3.3470496894409902</v>
      </c>
      <c r="AA53" s="85">
        <v>0.58928571428571719</v>
      </c>
    </row>
    <row r="54" spans="1:27" ht="15.75" thickTop="1" x14ac:dyDescent="0.25">
      <c r="A54" s="31" t="s">
        <v>41</v>
      </c>
      <c r="B54" s="32">
        <v>1</v>
      </c>
      <c r="C54" s="82">
        <v>-9.927773542141983</v>
      </c>
      <c r="D54" s="83">
        <v>-3.2552265267990479E-3</v>
      </c>
      <c r="E54" s="84">
        <v>-10.01796304797781</v>
      </c>
      <c r="F54" s="83">
        <v>1.015064239987123</v>
      </c>
      <c r="G54" s="85">
        <v>8.912117505069256</v>
      </c>
      <c r="H54" s="86">
        <v>-11.565695824590618</v>
      </c>
      <c r="I54" s="83">
        <v>3.838387557152104</v>
      </c>
      <c r="J54" s="83">
        <v>-5.0713965974316366</v>
      </c>
      <c r="K54" s="83">
        <v>-0.6528799589439076</v>
      </c>
      <c r="L54" s="85">
        <v>15.146239216886478</v>
      </c>
      <c r="M54" s="86">
        <v>24.599950954922853</v>
      </c>
      <c r="N54" s="83">
        <v>-0.72376111614165239</v>
      </c>
      <c r="O54" s="83">
        <v>29.628212517953905</v>
      </c>
      <c r="P54" s="83">
        <v>4.5329572384770529</v>
      </c>
      <c r="Q54" s="85">
        <v>9.6629112767251808</v>
      </c>
      <c r="R54" s="86">
        <v>-14.068754045854348</v>
      </c>
      <c r="S54" s="83">
        <v>5.1415290508968514</v>
      </c>
      <c r="T54" s="83">
        <v>-2.4631087490162584</v>
      </c>
      <c r="U54" s="83">
        <v>0.2570072211199152</v>
      </c>
      <c r="V54" s="85">
        <v>-0.13612667037557746</v>
      </c>
      <c r="W54" s="86">
        <v>-355.27556620644782</v>
      </c>
      <c r="X54" s="83">
        <v>-0.81856283100830884</v>
      </c>
      <c r="Y54" s="83">
        <v>-375.49748017942011</v>
      </c>
      <c r="Z54" s="83">
        <v>1.5220706228990721</v>
      </c>
      <c r="AA54" s="85">
        <v>3.6916718515263622</v>
      </c>
    </row>
    <row r="61" spans="1:27" x14ac:dyDescent="0.25">
      <c r="A61" s="5"/>
      <c r="B61" s="33" t="s">
        <v>17</v>
      </c>
      <c r="C61" s="49"/>
      <c r="D61" s="50"/>
      <c r="E61" s="50" t="s">
        <v>3</v>
      </c>
      <c r="F61" s="50"/>
      <c r="G61" s="76"/>
      <c r="H61" s="54"/>
      <c r="I61" s="54"/>
      <c r="J61" s="54" t="s">
        <v>4</v>
      </c>
      <c r="K61" s="54"/>
      <c r="L61" s="79"/>
      <c r="M61" s="50"/>
      <c r="N61" s="50"/>
      <c r="O61" s="50" t="s">
        <v>5</v>
      </c>
      <c r="P61" s="50"/>
      <c r="Q61" s="76"/>
      <c r="R61" s="54"/>
      <c r="S61" s="54"/>
      <c r="T61" s="54" t="s">
        <v>6</v>
      </c>
      <c r="U61" s="54"/>
      <c r="V61" s="79"/>
      <c r="W61" s="50"/>
      <c r="X61" s="50"/>
      <c r="Y61" s="50" t="s">
        <v>35</v>
      </c>
      <c r="Z61" s="50"/>
      <c r="AA61" s="81"/>
    </row>
    <row r="62" spans="1:27" ht="15.75" thickBot="1" x14ac:dyDescent="0.3">
      <c r="A62" s="12"/>
      <c r="B62" s="18"/>
      <c r="C62" s="51" t="s">
        <v>7</v>
      </c>
      <c r="D62" s="51" t="s">
        <v>8</v>
      </c>
      <c r="E62" s="51" t="s">
        <v>36</v>
      </c>
      <c r="F62" s="51" t="s">
        <v>10</v>
      </c>
      <c r="G62" s="77" t="s">
        <v>9</v>
      </c>
      <c r="H62" s="55" t="s">
        <v>7</v>
      </c>
      <c r="I62" s="55" t="s">
        <v>8</v>
      </c>
      <c r="J62" s="55" t="s">
        <v>36</v>
      </c>
      <c r="K62" s="55" t="s">
        <v>10</v>
      </c>
      <c r="L62" s="80" t="s">
        <v>9</v>
      </c>
      <c r="M62" s="51" t="s">
        <v>7</v>
      </c>
      <c r="N62" s="51" t="s">
        <v>8</v>
      </c>
      <c r="O62" s="51" t="s">
        <v>36</v>
      </c>
      <c r="P62" s="51" t="s">
        <v>10</v>
      </c>
      <c r="Q62" s="77" t="s">
        <v>9</v>
      </c>
      <c r="R62" s="55" t="s">
        <v>7</v>
      </c>
      <c r="S62" s="55" t="s">
        <v>8</v>
      </c>
      <c r="T62" s="55" t="s">
        <v>36</v>
      </c>
      <c r="U62" s="55" t="s">
        <v>10</v>
      </c>
      <c r="V62" s="80" t="s">
        <v>9</v>
      </c>
      <c r="W62" s="51" t="s">
        <v>7</v>
      </c>
      <c r="X62" s="51" t="s">
        <v>8</v>
      </c>
      <c r="Y62" s="51" t="s">
        <v>36</v>
      </c>
      <c r="Z62" s="51" t="s">
        <v>10</v>
      </c>
      <c r="AA62" s="77" t="s">
        <v>9</v>
      </c>
    </row>
    <row r="63" spans="1:27" ht="16.5" thickTop="1" thickBot="1" x14ac:dyDescent="0.3">
      <c r="A63" s="31" t="s">
        <v>14</v>
      </c>
      <c r="B63" s="32">
        <v>1</v>
      </c>
      <c r="C63" s="92">
        <v>8.9150000000000009</v>
      </c>
      <c r="D63" s="88">
        <v>0.53875000000000006</v>
      </c>
      <c r="E63" s="89">
        <v>8.3762500000000006</v>
      </c>
      <c r="F63" s="88">
        <v>2</v>
      </c>
      <c r="G63" s="90">
        <v>3.25</v>
      </c>
      <c r="H63" s="91">
        <v>8.6774999999999984</v>
      </c>
      <c r="I63" s="88">
        <v>3.1775000000000002</v>
      </c>
      <c r="J63" s="88">
        <v>5.5</v>
      </c>
      <c r="K63" s="88">
        <v>0.25</v>
      </c>
      <c r="L63" s="90">
        <v>3</v>
      </c>
      <c r="M63" s="91">
        <v>10.777500000000003</v>
      </c>
      <c r="N63" s="88">
        <v>0.68250000000000011</v>
      </c>
      <c r="O63" s="88">
        <v>10.095000000000001</v>
      </c>
      <c r="P63" s="88">
        <v>2.75</v>
      </c>
      <c r="Q63" s="90">
        <v>5.5</v>
      </c>
      <c r="R63" s="91">
        <v>3.3587499999999988</v>
      </c>
      <c r="S63" s="88">
        <v>2.1712499999999997</v>
      </c>
      <c r="T63" s="88">
        <v>1.1874999999999993</v>
      </c>
      <c r="U63" s="88">
        <v>1.375</v>
      </c>
      <c r="V63" s="90">
        <v>2.25</v>
      </c>
      <c r="W63" s="91">
        <v>7.9049999999999994</v>
      </c>
      <c r="X63" s="88">
        <v>5.6087499999999988</v>
      </c>
      <c r="Y63" s="88">
        <v>2.2962499999999988</v>
      </c>
      <c r="Z63" s="88">
        <v>3.375</v>
      </c>
      <c r="AA63" s="90">
        <v>3.875</v>
      </c>
    </row>
    <row r="64" spans="1:27" ht="16.5" thickTop="1" thickBot="1" x14ac:dyDescent="0.3">
      <c r="A64" s="31" t="s">
        <v>37</v>
      </c>
      <c r="B64" s="32">
        <v>1</v>
      </c>
      <c r="C64" s="87">
        <v>5.51</v>
      </c>
      <c r="D64" s="88">
        <v>-2.0000000000000018E-2</v>
      </c>
      <c r="E64" s="89">
        <v>5.5299999999999994</v>
      </c>
      <c r="F64" s="88">
        <v>0</v>
      </c>
      <c r="G64" s="90">
        <v>-0.5</v>
      </c>
      <c r="H64" s="91">
        <v>3.2849999999999993</v>
      </c>
      <c r="I64" s="88">
        <v>-4.9999999999998934E-3</v>
      </c>
      <c r="J64" s="88">
        <v>-0.69000000000000039</v>
      </c>
      <c r="K64" s="88">
        <v>-2</v>
      </c>
      <c r="L64" s="90">
        <v>0.5</v>
      </c>
      <c r="M64" s="91">
        <v>7.5</v>
      </c>
      <c r="N64" s="88">
        <v>-1.2099999999999991</v>
      </c>
      <c r="O64" s="88">
        <v>4.1449999999999996</v>
      </c>
      <c r="P64" s="88">
        <v>0</v>
      </c>
      <c r="Q64" s="90">
        <v>0</v>
      </c>
      <c r="R64" s="91">
        <v>-1.0849999999999991</v>
      </c>
      <c r="S64" s="88">
        <v>-2.9999999999999805E-2</v>
      </c>
      <c r="T64" s="88">
        <v>-3.9850000000000003</v>
      </c>
      <c r="U64" s="88">
        <v>0</v>
      </c>
      <c r="V64" s="90">
        <v>0</v>
      </c>
      <c r="W64" s="91">
        <v>2.2449999999999992</v>
      </c>
      <c r="X64" s="88">
        <v>2.1349999999999998</v>
      </c>
      <c r="Y64" s="88">
        <v>-4.2100000000000017</v>
      </c>
      <c r="Z64" s="88">
        <v>1</v>
      </c>
      <c r="AA64" s="90">
        <v>1</v>
      </c>
    </row>
    <row r="65" spans="1:27" ht="16.5" thickTop="1" thickBot="1" x14ac:dyDescent="0.3">
      <c r="A65" s="31" t="s">
        <v>13</v>
      </c>
      <c r="B65" s="32">
        <v>1</v>
      </c>
      <c r="C65" s="87">
        <v>8.31</v>
      </c>
      <c r="D65" s="88">
        <v>0</v>
      </c>
      <c r="E65" s="89">
        <v>8.3000000000000007</v>
      </c>
      <c r="F65" s="88">
        <v>1</v>
      </c>
      <c r="G65" s="90">
        <v>3.5</v>
      </c>
      <c r="H65" s="91">
        <v>7.1049999999999995</v>
      </c>
      <c r="I65" s="88">
        <v>4.3250000000000011</v>
      </c>
      <c r="J65" s="88">
        <v>6.3850000000000016</v>
      </c>
      <c r="K65" s="88">
        <v>1</v>
      </c>
      <c r="L65" s="90">
        <v>1.5</v>
      </c>
      <c r="M65" s="91">
        <v>10.48</v>
      </c>
      <c r="N65" s="88">
        <v>-4.9999999999998934E-2</v>
      </c>
      <c r="O65" s="88">
        <v>9.8699999999999992</v>
      </c>
      <c r="P65" s="88">
        <v>3</v>
      </c>
      <c r="Q65" s="90">
        <v>6</v>
      </c>
      <c r="R65" s="91">
        <v>4.3499999999999988</v>
      </c>
      <c r="S65" s="88">
        <v>-2.2204460492503131E-16</v>
      </c>
      <c r="T65" s="88">
        <v>1.4749999999999988</v>
      </c>
      <c r="U65" s="88">
        <v>1.5</v>
      </c>
      <c r="V65" s="90">
        <v>2</v>
      </c>
      <c r="W65" s="91">
        <v>9.1549999999999994</v>
      </c>
      <c r="X65" s="88">
        <v>4.26</v>
      </c>
      <c r="Y65" s="88">
        <v>4.2149999999999999</v>
      </c>
      <c r="Z65" s="88">
        <v>3</v>
      </c>
      <c r="AA65" s="90">
        <v>5</v>
      </c>
    </row>
    <row r="66" spans="1:27" ht="16.5" thickTop="1" thickBot="1" x14ac:dyDescent="0.3">
      <c r="A66" s="31" t="s">
        <v>39</v>
      </c>
      <c r="B66" s="32">
        <v>1</v>
      </c>
      <c r="C66" s="87">
        <v>10.5</v>
      </c>
      <c r="D66" s="88">
        <v>2.0000000000000018E-2</v>
      </c>
      <c r="E66" s="89">
        <v>10.489999999999998</v>
      </c>
      <c r="F66" s="88">
        <v>4</v>
      </c>
      <c r="G66" s="90">
        <v>6.5</v>
      </c>
      <c r="H66" s="91">
        <v>14.580000000000002</v>
      </c>
      <c r="I66" s="88">
        <v>6.2599999999999989</v>
      </c>
      <c r="J66" s="88">
        <v>12.379999999999999</v>
      </c>
      <c r="K66" s="88">
        <v>2</v>
      </c>
      <c r="L66" s="90">
        <v>4.5</v>
      </c>
      <c r="M66" s="91">
        <v>15.255000000000003</v>
      </c>
      <c r="N66" s="88">
        <v>3.9999999999999147E-2</v>
      </c>
      <c r="O66" s="88">
        <v>15.850000000000005</v>
      </c>
      <c r="P66" s="88">
        <v>5</v>
      </c>
      <c r="Q66" s="90">
        <v>11.5</v>
      </c>
      <c r="R66" s="91">
        <v>7.089999999999999</v>
      </c>
      <c r="S66" s="88">
        <v>5.8</v>
      </c>
      <c r="T66" s="88">
        <v>5.7149999999999999</v>
      </c>
      <c r="U66" s="88">
        <v>2.5</v>
      </c>
      <c r="V66" s="90">
        <v>5</v>
      </c>
      <c r="W66" s="91">
        <v>17.59</v>
      </c>
      <c r="X66" s="88">
        <v>9.245000000000001</v>
      </c>
      <c r="Y66" s="88">
        <v>12.249999999999998</v>
      </c>
      <c r="Z66" s="88">
        <v>4</v>
      </c>
      <c r="AA66" s="90">
        <v>7.5</v>
      </c>
    </row>
    <row r="67" spans="1:27" ht="16.5" thickTop="1" thickBot="1" x14ac:dyDescent="0.3">
      <c r="A67" s="31" t="s">
        <v>23</v>
      </c>
      <c r="B67" s="32">
        <v>1</v>
      </c>
      <c r="C67" s="53">
        <v>12.700000000000003</v>
      </c>
      <c r="D67" s="52">
        <v>4.34</v>
      </c>
      <c r="E67" s="75">
        <v>17.030000000000005</v>
      </c>
      <c r="F67" s="52">
        <v>6</v>
      </c>
      <c r="G67" s="78">
        <v>13</v>
      </c>
      <c r="H67" s="56">
        <v>19.759999999999994</v>
      </c>
      <c r="I67" s="52">
        <v>12.84</v>
      </c>
      <c r="J67" s="52">
        <v>22.949999999999996</v>
      </c>
      <c r="K67" s="52">
        <v>6</v>
      </c>
      <c r="L67" s="78">
        <v>11</v>
      </c>
      <c r="M67" s="56">
        <v>15.07</v>
      </c>
      <c r="N67" s="52">
        <v>9.1999999999999975</v>
      </c>
      <c r="O67" s="52">
        <v>16.21</v>
      </c>
      <c r="P67" s="52">
        <v>10</v>
      </c>
      <c r="Q67" s="78">
        <v>19</v>
      </c>
      <c r="R67" s="56">
        <v>18.560000000000002</v>
      </c>
      <c r="S67" s="52">
        <v>5.9099999999999984</v>
      </c>
      <c r="T67" s="52">
        <v>15.450000000000005</v>
      </c>
      <c r="U67" s="52">
        <v>3</v>
      </c>
      <c r="V67" s="78">
        <v>6</v>
      </c>
      <c r="W67" s="56">
        <v>44.179999999999993</v>
      </c>
      <c r="X67" s="52">
        <v>13.59</v>
      </c>
      <c r="Y67" s="52">
        <v>32.880000000000003</v>
      </c>
      <c r="Z67" s="52">
        <v>8</v>
      </c>
      <c r="AA67" s="78">
        <v>11</v>
      </c>
    </row>
    <row r="68" spans="1:27" ht="16.5" thickTop="1" thickBot="1" x14ac:dyDescent="0.3">
      <c r="A68" s="31" t="s">
        <v>44</v>
      </c>
      <c r="B68" s="32">
        <v>1</v>
      </c>
      <c r="C68" s="94">
        <v>4.9899999999999984</v>
      </c>
      <c r="D68" s="95">
        <v>-2.0000000000000018E-2</v>
      </c>
      <c r="E68" s="96">
        <v>0.66999999999999815</v>
      </c>
      <c r="F68" s="95">
        <v>0</v>
      </c>
      <c r="G68" s="97">
        <v>-3</v>
      </c>
      <c r="H68" s="98">
        <v>-0.13999999999999702</v>
      </c>
      <c r="I68" s="95">
        <v>-4.2899999999999991</v>
      </c>
      <c r="J68" s="95">
        <v>-7.5499999999999989</v>
      </c>
      <c r="K68" s="95">
        <v>-3</v>
      </c>
      <c r="L68" s="97">
        <v>0</v>
      </c>
      <c r="M68" s="98">
        <v>2.3400000000000034</v>
      </c>
      <c r="N68" s="95">
        <v>-1.2099999999999991</v>
      </c>
      <c r="O68" s="95">
        <v>2.4100000000000037</v>
      </c>
      <c r="P68" s="95">
        <v>-2</v>
      </c>
      <c r="Q68" s="97">
        <v>-5</v>
      </c>
      <c r="R68" s="98">
        <v>-6.2000000000000028</v>
      </c>
      <c r="S68" s="95">
        <v>-3.9999999999999591E-2</v>
      </c>
      <c r="T68" s="95">
        <v>-6.1800000000000033</v>
      </c>
      <c r="U68" s="95">
        <v>0</v>
      </c>
      <c r="V68" s="97">
        <v>0</v>
      </c>
      <c r="W68" s="98">
        <v>-19.46</v>
      </c>
      <c r="X68" s="95">
        <v>0</v>
      </c>
      <c r="Y68" s="95">
        <v>-19.510000000000002</v>
      </c>
      <c r="Z68" s="95">
        <v>1</v>
      </c>
      <c r="AA68" s="97">
        <v>-2</v>
      </c>
    </row>
    <row r="69" spans="1:27" ht="16.5" thickTop="1" thickBot="1" x14ac:dyDescent="0.3">
      <c r="A69" s="31" t="s">
        <v>45</v>
      </c>
      <c r="B69" s="32">
        <v>1</v>
      </c>
      <c r="C69" s="94">
        <v>17.690000000000001</v>
      </c>
      <c r="D69" s="95">
        <v>4.32</v>
      </c>
      <c r="E69" s="96">
        <v>17.700000000000003</v>
      </c>
      <c r="F69" s="95">
        <v>6</v>
      </c>
      <c r="G69" s="97">
        <v>10</v>
      </c>
      <c r="H69" s="98">
        <v>19.619999999999997</v>
      </c>
      <c r="I69" s="95">
        <v>8.5500000000000007</v>
      </c>
      <c r="J69" s="95">
        <v>15.399999999999999</v>
      </c>
      <c r="K69" s="95">
        <v>3</v>
      </c>
      <c r="L69" s="97">
        <v>11</v>
      </c>
      <c r="M69" s="98">
        <v>17.410000000000004</v>
      </c>
      <c r="N69" s="95">
        <v>7.9899999999999984</v>
      </c>
      <c r="O69" s="95">
        <v>18.620000000000005</v>
      </c>
      <c r="P69" s="95">
        <v>8</v>
      </c>
      <c r="Q69" s="97">
        <v>14</v>
      </c>
      <c r="R69" s="98">
        <v>12.360000000000001</v>
      </c>
      <c r="S69" s="95">
        <v>5.8699999999999992</v>
      </c>
      <c r="T69" s="95">
        <v>9.2700000000000014</v>
      </c>
      <c r="U69" s="95">
        <v>3</v>
      </c>
      <c r="V69" s="97">
        <v>6</v>
      </c>
      <c r="W69" s="98">
        <v>24.719999999999995</v>
      </c>
      <c r="X69" s="95">
        <v>13.59</v>
      </c>
      <c r="Y69" s="95">
        <v>13.370000000000001</v>
      </c>
      <c r="Z69" s="95">
        <v>9</v>
      </c>
      <c r="AA69" s="97">
        <v>9</v>
      </c>
    </row>
    <row r="70" spans="1:27" ht="16.5" thickTop="1" thickBot="1" x14ac:dyDescent="0.3">
      <c r="A70" s="31" t="s">
        <v>38</v>
      </c>
      <c r="B70" s="32">
        <v>1</v>
      </c>
      <c r="C70" s="53">
        <v>3.9596843308526508</v>
      </c>
      <c r="D70" s="52">
        <v>1.4292518803555936</v>
      </c>
      <c r="E70" s="75">
        <v>4.6855040750702601</v>
      </c>
      <c r="F70" s="52">
        <v>2.2360679774997898</v>
      </c>
      <c r="G70" s="78">
        <v>4.2938910093294167</v>
      </c>
      <c r="H70" s="56">
        <v>6.5847280695560988</v>
      </c>
      <c r="I70" s="52">
        <v>3.9771904342135791</v>
      </c>
      <c r="J70" s="52">
        <v>7.5413791842076199</v>
      </c>
      <c r="K70" s="52">
        <v>2.1650635094610968</v>
      </c>
      <c r="L70" s="78">
        <v>3.4641016151377544</v>
      </c>
      <c r="M70" s="56">
        <v>4.8974629911822714</v>
      </c>
      <c r="N70" s="52">
        <v>2.807439892499926</v>
      </c>
      <c r="O70" s="52">
        <v>6.0336970424442109</v>
      </c>
      <c r="P70" s="52">
        <v>3.1523800532296229</v>
      </c>
      <c r="Q70" s="78">
        <v>6.3639610306789276</v>
      </c>
      <c r="R70" s="56">
        <v>6.0577562626355315</v>
      </c>
      <c r="S70" s="52">
        <v>2.8290079422829475</v>
      </c>
      <c r="T70" s="52">
        <v>5.5336465147314939</v>
      </c>
      <c r="U70" s="52">
        <v>1.2183492931011204</v>
      </c>
      <c r="V70" s="78">
        <v>2.1650635094610968</v>
      </c>
      <c r="W70" s="56">
        <v>12.744805804719036</v>
      </c>
      <c r="X70" s="52">
        <v>4.4557447118859939</v>
      </c>
      <c r="Y70" s="52">
        <v>10.793350890131387</v>
      </c>
      <c r="Z70" s="52">
        <v>2.3946555075835021</v>
      </c>
      <c r="AA70" s="78">
        <v>3.179524335494226</v>
      </c>
    </row>
    <row r="71" spans="1:27" ht="16.5" thickTop="1" thickBot="1" x14ac:dyDescent="0.3">
      <c r="A71" s="31" t="s">
        <v>24</v>
      </c>
      <c r="B71" s="32">
        <v>1</v>
      </c>
      <c r="C71" s="53">
        <v>1.9898955577749931</v>
      </c>
      <c r="D71" s="52">
        <v>1.1955132288501009</v>
      </c>
      <c r="E71" s="75">
        <v>2.1646025212658007</v>
      </c>
      <c r="F71" s="52">
        <v>1.4953487812212205</v>
      </c>
      <c r="G71" s="78">
        <v>2.0721706033358878</v>
      </c>
      <c r="H71" s="56">
        <v>2.5660724988893238</v>
      </c>
      <c r="I71" s="52">
        <v>1.9942894559751299</v>
      </c>
      <c r="J71" s="52">
        <v>2.7461571666981515</v>
      </c>
      <c r="K71" s="52">
        <v>1.471415478191356</v>
      </c>
      <c r="L71" s="78">
        <v>1.8612097182041991</v>
      </c>
      <c r="M71" s="56">
        <v>2.2130212360441259</v>
      </c>
      <c r="N71" s="52">
        <v>1.6755416713707618</v>
      </c>
      <c r="O71" s="52">
        <v>2.4563584922490875</v>
      </c>
      <c r="P71" s="52">
        <v>1.7754943123619469</v>
      </c>
      <c r="Q71" s="78">
        <v>2.5226892457611436</v>
      </c>
      <c r="R71" s="56">
        <v>2.4612509548267383</v>
      </c>
      <c r="S71" s="52">
        <v>1.6819654997302851</v>
      </c>
      <c r="T71" s="52">
        <v>2.3523704033870803</v>
      </c>
      <c r="U71" s="52">
        <v>1.1037886088835671</v>
      </c>
      <c r="V71" s="78">
        <v>1.471415478191356</v>
      </c>
      <c r="W71" s="56">
        <v>3.5699868073592422</v>
      </c>
      <c r="X71" s="52">
        <v>2.1108634991126247</v>
      </c>
      <c r="Y71" s="52">
        <v>3.2853235594278059</v>
      </c>
      <c r="Z71" s="52">
        <v>1.5474674496038687</v>
      </c>
      <c r="AA71" s="78">
        <v>1.7831220753202026</v>
      </c>
    </row>
    <row r="72" spans="1:27" ht="16.5" thickTop="1" thickBot="1" x14ac:dyDescent="0.3">
      <c r="A72" s="31" t="s">
        <v>42</v>
      </c>
      <c r="B72" s="32">
        <v>1</v>
      </c>
      <c r="C72" s="53">
        <v>22.320757798934299</v>
      </c>
      <c r="D72" s="52">
        <v>221.90500767519271</v>
      </c>
      <c r="E72" s="75">
        <v>25.842143217618869</v>
      </c>
      <c r="F72" s="52">
        <v>74.767439061061026</v>
      </c>
      <c r="G72" s="78">
        <v>63.759095487258087</v>
      </c>
      <c r="H72" s="56">
        <v>29.571564377866025</v>
      </c>
      <c r="I72" s="52">
        <v>62.762846765543031</v>
      </c>
      <c r="J72" s="52">
        <v>49.930130303602752</v>
      </c>
      <c r="K72" s="52">
        <v>588.56619127654244</v>
      </c>
      <c r="L72" s="78">
        <v>62.04032394013997</v>
      </c>
      <c r="M72" s="56">
        <v>20.53371594566574</v>
      </c>
      <c r="N72" s="52">
        <v>245.50061118985516</v>
      </c>
      <c r="O72" s="52">
        <v>24.332426867251979</v>
      </c>
      <c r="P72" s="52">
        <v>64.563429540434427</v>
      </c>
      <c r="Q72" s="78">
        <v>45.86707719565716</v>
      </c>
      <c r="R72" s="56">
        <v>73.278777962835548</v>
      </c>
      <c r="S72" s="52">
        <v>77.465307989880728</v>
      </c>
      <c r="T72" s="52">
        <v>198.09434975891213</v>
      </c>
      <c r="U72" s="52">
        <v>80.275535191532157</v>
      </c>
      <c r="V72" s="78">
        <v>65.396243475171374</v>
      </c>
      <c r="W72" s="56">
        <v>45.161123432754493</v>
      </c>
      <c r="X72" s="52">
        <v>37.635186077336755</v>
      </c>
      <c r="Y72" s="52">
        <v>143.07342664900631</v>
      </c>
      <c r="Z72" s="52">
        <v>45.850887395670185</v>
      </c>
      <c r="AA72" s="78">
        <v>46.016053556650391</v>
      </c>
    </row>
    <row r="73" spans="1:27" ht="16.5" thickTop="1" thickBot="1" x14ac:dyDescent="0.3">
      <c r="A73" s="31" t="s">
        <v>40</v>
      </c>
      <c r="B73" s="32">
        <v>1</v>
      </c>
      <c r="C73" s="82">
        <v>41.495902374753598</v>
      </c>
      <c r="D73" s="83">
        <v>21.338160261122432</v>
      </c>
      <c r="E73" s="84">
        <v>36.173721297370342</v>
      </c>
      <c r="F73" s="83">
        <v>-7.8628571428571439</v>
      </c>
      <c r="G73" s="85">
        <v>-17.854915254237287</v>
      </c>
      <c r="H73" s="86">
        <v>-65.783584065713086</v>
      </c>
      <c r="I73" s="83">
        <v>-7.3360040041975196</v>
      </c>
      <c r="J73" s="83">
        <v>-79.356441217160821</v>
      </c>
      <c r="K73" s="83">
        <v>-11.849142857142855</v>
      </c>
      <c r="L73" s="85">
        <v>46.285714285714292</v>
      </c>
      <c r="M73" s="86">
        <v>-16.589956993357593</v>
      </c>
      <c r="N73" s="83">
        <v>74.769450375963771</v>
      </c>
      <c r="O73" s="83">
        <v>-64.226747173774825</v>
      </c>
      <c r="P73" s="83">
        <v>-11.851212938005393</v>
      </c>
      <c r="Q73" s="85">
        <v>-73.384126984126979</v>
      </c>
      <c r="R73" s="86">
        <v>-22.393447596311198</v>
      </c>
      <c r="S73" s="83">
        <v>-23.405761279969777</v>
      </c>
      <c r="T73" s="83">
        <v>-74.727039253851331</v>
      </c>
      <c r="U73" s="83">
        <v>-3.7269172932330838</v>
      </c>
      <c r="V73" s="85">
        <v>-5.7051428571428557</v>
      </c>
      <c r="W73" s="86">
        <v>358.97894671425325</v>
      </c>
      <c r="X73" s="83">
        <v>-16.152460100949561</v>
      </c>
      <c r="Y73" s="83">
        <v>69.968403560710343</v>
      </c>
      <c r="Z73" s="83">
        <v>27.196263137407552</v>
      </c>
      <c r="AA73" s="85">
        <v>2.691631706778538</v>
      </c>
    </row>
    <row r="74" spans="1:27" ht="15.75" thickTop="1" x14ac:dyDescent="0.25">
      <c r="A74" s="31" t="s">
        <v>41</v>
      </c>
      <c r="B74" s="32">
        <v>1</v>
      </c>
      <c r="C74" s="82">
        <v>13.277577397629326</v>
      </c>
      <c r="D74" s="83">
        <v>5.9034585838934204</v>
      </c>
      <c r="E74" s="84">
        <v>6.3449563619560925</v>
      </c>
      <c r="F74" s="83">
        <v>2.734352057090232</v>
      </c>
      <c r="G74" s="85">
        <v>-2.3280560773555736</v>
      </c>
      <c r="H74" s="86">
        <v>6.1888006424414943</v>
      </c>
      <c r="I74" s="83">
        <v>-6.3433699828141972</v>
      </c>
      <c r="J74" s="83">
        <v>-8.9091056467305325</v>
      </c>
      <c r="K74" s="83">
        <v>-1.2107647363403156</v>
      </c>
      <c r="L74" s="85">
        <v>13.294355130029997</v>
      </c>
      <c r="M74" s="86">
        <v>-2.2952272788677761</v>
      </c>
      <c r="N74" s="83">
        <v>15.180364960919409</v>
      </c>
      <c r="O74" s="83">
        <v>3.6445840862830341</v>
      </c>
      <c r="P74" s="83">
        <v>1.1485677492368391</v>
      </c>
      <c r="Q74" s="85">
        <v>-5.0186833672285189</v>
      </c>
      <c r="R74" s="86">
        <v>-8.4341429285474021</v>
      </c>
      <c r="S74" s="83">
        <v>3.7448503372653419</v>
      </c>
      <c r="T74" s="83">
        <v>-0.16098926757162468</v>
      </c>
      <c r="U74" s="83">
        <v>0.17262257943442258</v>
      </c>
      <c r="V74" s="85">
        <v>2.3766863342976565</v>
      </c>
      <c r="W74" s="86">
        <v>-60.529572486463437</v>
      </c>
      <c r="X74" s="83">
        <v>5.2050165057817495</v>
      </c>
      <c r="Y74" s="83">
        <v>-44.565963316024536</v>
      </c>
      <c r="Z74" s="83">
        <v>7.6572231293750024</v>
      </c>
      <c r="AA74" s="85">
        <v>-2.844176169598839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omputeAllNormalizedButton_Click">
                <anchor moveWithCells="1" sizeWithCells="1">
                  <from>
                    <xdr:col>27</xdr:col>
                    <xdr:colOff>590550</xdr:colOff>
                    <xdr:row>0</xdr:row>
                    <xdr:rowOff>190500</xdr:rowOff>
                  </from>
                  <to>
                    <xdr:col>31</xdr:col>
                    <xdr:colOff>428625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10E10-ED63-4D80-B0C4-E31B8D0B13F0}">
  <sheetPr codeName="Arkusz8"/>
  <dimension ref="A1:A109"/>
  <sheetViews>
    <sheetView topLeftCell="A61" zoomScale="85" zoomScaleNormal="85" workbookViewId="0">
      <selection activeCell="AB91" sqref="X91:AB91"/>
    </sheetView>
  </sheetViews>
  <sheetFormatPr defaultRowHeight="15" x14ac:dyDescent="0.25"/>
  <cols>
    <col min="1" max="40" width="9.7109375" customWidth="1"/>
  </cols>
  <sheetData>
    <row r="1" spans="1:1" s="99" customFormat="1" x14ac:dyDescent="0.25">
      <c r="A1" s="99" t="s">
        <v>46</v>
      </c>
    </row>
    <row r="19" spans="1:1" s="99" customFormat="1" x14ac:dyDescent="0.25">
      <c r="A19" s="99" t="s">
        <v>48</v>
      </c>
    </row>
    <row r="37" spans="1:1" s="99" customFormat="1" x14ac:dyDescent="0.25">
      <c r="A37" s="99" t="s">
        <v>47</v>
      </c>
    </row>
    <row r="55" spans="1:1" s="99" customFormat="1" x14ac:dyDescent="0.25">
      <c r="A55" s="99" t="s">
        <v>49</v>
      </c>
    </row>
    <row r="73" spans="1:1" s="99" customFormat="1" x14ac:dyDescent="0.25">
      <c r="A73" s="99" t="s">
        <v>50</v>
      </c>
    </row>
    <row r="91" spans="1:1" s="99" customFormat="1" x14ac:dyDescent="0.25">
      <c r="A91" s="99" t="s">
        <v>51</v>
      </c>
    </row>
    <row r="109" spans="1:1" s="99" customFormat="1" x14ac:dyDescent="0.25">
      <c r="A109" s="99" t="s">
        <v>52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Button 3">
              <controlPr defaultSize="0" print="0" autoFill="0" autoPict="0" macro="[0]!GenerateGprahsD_Click">
                <anchor moveWithCells="1" sizeWithCells="1">
                  <from>
                    <xdr:col>45</xdr:col>
                    <xdr:colOff>457200</xdr:colOff>
                    <xdr:row>4</xdr:row>
                    <xdr:rowOff>28575</xdr:rowOff>
                  </from>
                  <to>
                    <xdr:col>51</xdr:col>
                    <xdr:colOff>333375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15132-2ADD-4230-8CCE-2CCCDA671BFE}">
  <sheetPr codeName="Arkusz7"/>
  <dimension ref="A1:C5"/>
  <sheetViews>
    <sheetView workbookViewId="0">
      <selection activeCell="A2" sqref="A2:A5"/>
    </sheetView>
  </sheetViews>
  <sheetFormatPr defaultRowHeight="15" x14ac:dyDescent="0.25"/>
  <cols>
    <col min="1" max="1" width="10.140625" style="35" bestFit="1" customWidth="1"/>
  </cols>
  <sheetData>
    <row r="1" spans="1:3" x14ac:dyDescent="0.25">
      <c r="A1" s="34" t="s">
        <v>18</v>
      </c>
      <c r="C1" t="s">
        <v>22</v>
      </c>
    </row>
    <row r="2" spans="1:3" x14ac:dyDescent="0.25">
      <c r="A2" s="35" t="s">
        <v>19</v>
      </c>
    </row>
    <row r="3" spans="1:3" x14ac:dyDescent="0.25">
      <c r="A3" s="35" t="s">
        <v>20</v>
      </c>
    </row>
    <row r="4" spans="1:3" x14ac:dyDescent="0.25">
      <c r="A4" s="35" t="s">
        <v>21</v>
      </c>
    </row>
    <row r="5" spans="1:3" x14ac:dyDescent="0.25">
      <c r="A5" s="35" t="s">
        <v>43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enerateButton_Click">
                <anchor moveWithCells="1" sizeWithCells="1">
                  <from>
                    <xdr:col>2</xdr:col>
                    <xdr:colOff>571500</xdr:colOff>
                    <xdr:row>1</xdr:row>
                    <xdr:rowOff>123825</xdr:rowOff>
                  </from>
                  <to>
                    <xdr:col>6</xdr:col>
                    <xdr:colOff>514350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C5749-1F23-4C2D-8502-5CF1EC4B6C6C}">
  <sheetPr codeName="Arkusz1"/>
  <dimension ref="A1:EW34"/>
  <sheetViews>
    <sheetView workbookViewId="0">
      <selection activeCell="C2" sqref="C2"/>
    </sheetView>
  </sheetViews>
  <sheetFormatPr defaultRowHeight="15" x14ac:dyDescent="0.25"/>
  <cols>
    <col min="1" max="1" width="4.5703125" customWidth="1"/>
    <col min="2" max="2" width="4.42578125" customWidth="1"/>
    <col min="3" max="3" width="9.140625" style="41"/>
    <col min="4" max="4" width="10.85546875" style="41" customWidth="1"/>
    <col min="5" max="5" width="8.28515625" customWidth="1"/>
    <col min="6" max="6" width="5.140625" customWidth="1"/>
    <col min="7" max="7" width="5.28515625" customWidth="1"/>
    <col min="8" max="9" width="9.140625" style="41"/>
    <col min="10" max="10" width="8.140625" customWidth="1"/>
    <col min="11" max="11" width="6" customWidth="1"/>
    <col min="12" max="12" width="5.7109375" customWidth="1"/>
    <col min="13" max="14" width="9.140625" style="41"/>
    <col min="15" max="15" width="8.140625" customWidth="1"/>
    <col min="16" max="16" width="5.5703125" customWidth="1"/>
    <col min="17" max="17" width="5.85546875" customWidth="1"/>
    <col min="18" max="19" width="9.140625" style="41"/>
    <col min="20" max="20" width="7.28515625" customWidth="1"/>
    <col min="21" max="21" width="5.42578125" customWidth="1"/>
    <col min="22" max="22" width="5.28515625" customWidth="1"/>
    <col min="23" max="24" width="9.140625" style="41"/>
    <col min="25" max="25" width="8.5703125" customWidth="1"/>
    <col min="26" max="26" width="5.140625" customWidth="1"/>
    <col min="27" max="27" width="5.42578125" customWidth="1"/>
  </cols>
  <sheetData>
    <row r="1" spans="1:153" s="2" customFormat="1" x14ac:dyDescent="0.25">
      <c r="A1" s="5"/>
      <c r="B1" s="21"/>
      <c r="C1" s="6"/>
      <c r="D1" s="7"/>
      <c r="E1" s="7" t="s">
        <v>3</v>
      </c>
      <c r="F1" s="7"/>
      <c r="G1" s="17"/>
      <c r="H1" s="8"/>
      <c r="I1" s="8"/>
      <c r="J1" s="8" t="s">
        <v>4</v>
      </c>
      <c r="K1" s="8"/>
      <c r="L1" s="14"/>
      <c r="M1" s="7"/>
      <c r="N1" s="7"/>
      <c r="O1" s="7" t="s">
        <v>5</v>
      </c>
      <c r="P1" s="7"/>
      <c r="Q1" s="17"/>
      <c r="R1" s="8"/>
      <c r="S1" s="8"/>
      <c r="T1" s="8" t="s">
        <v>6</v>
      </c>
      <c r="U1" s="8"/>
      <c r="V1" s="14"/>
      <c r="W1" s="7"/>
      <c r="X1" s="7"/>
      <c r="Y1" s="7" t="s">
        <v>35</v>
      </c>
      <c r="Z1" s="7"/>
      <c r="AA1" s="20"/>
    </row>
    <row r="2" spans="1:153" s="3" customFormat="1" ht="15.75" thickBot="1" x14ac:dyDescent="0.3">
      <c r="A2" s="12" t="s">
        <v>1</v>
      </c>
      <c r="B2" s="18" t="s">
        <v>2</v>
      </c>
      <c r="C2" s="12" t="s">
        <v>7</v>
      </c>
      <c r="D2" s="12" t="s">
        <v>8</v>
      </c>
      <c r="E2" s="12" t="s">
        <v>36</v>
      </c>
      <c r="F2" s="12" t="s">
        <v>10</v>
      </c>
      <c r="G2" s="18" t="s">
        <v>9</v>
      </c>
      <c r="H2" s="13" t="s">
        <v>7</v>
      </c>
      <c r="I2" s="13" t="s">
        <v>8</v>
      </c>
      <c r="J2" s="13" t="s">
        <v>36</v>
      </c>
      <c r="K2" s="13" t="s">
        <v>10</v>
      </c>
      <c r="L2" s="15" t="s">
        <v>9</v>
      </c>
      <c r="M2" s="12" t="s">
        <v>7</v>
      </c>
      <c r="N2" s="12" t="s">
        <v>8</v>
      </c>
      <c r="O2" s="12" t="s">
        <v>36</v>
      </c>
      <c r="P2" s="12" t="s">
        <v>10</v>
      </c>
      <c r="Q2" s="18" t="s">
        <v>9</v>
      </c>
      <c r="R2" s="13" t="s">
        <v>7</v>
      </c>
      <c r="S2" s="13" t="s">
        <v>8</v>
      </c>
      <c r="T2" s="13" t="s">
        <v>36</v>
      </c>
      <c r="U2" s="13" t="s">
        <v>10</v>
      </c>
      <c r="V2" s="15" t="s">
        <v>9</v>
      </c>
      <c r="W2" s="12" t="s">
        <v>7</v>
      </c>
      <c r="X2" s="12" t="s">
        <v>8</v>
      </c>
      <c r="Y2" s="12" t="s">
        <v>36</v>
      </c>
      <c r="Z2" s="12" t="s">
        <v>10</v>
      </c>
      <c r="AA2" s="18" t="s">
        <v>9</v>
      </c>
    </row>
    <row r="3" spans="1:153" ht="18" customHeight="1" thickTop="1" x14ac:dyDescent="0.25">
      <c r="A3" s="4">
        <v>1</v>
      </c>
      <c r="B3" s="22">
        <v>1</v>
      </c>
      <c r="C3" s="36">
        <v>17.57</v>
      </c>
      <c r="D3" s="42">
        <v>2.78</v>
      </c>
      <c r="E3" s="10">
        <v>14.790000000000001</v>
      </c>
      <c r="F3" s="9">
        <v>1</v>
      </c>
      <c r="G3" s="19">
        <v>4</v>
      </c>
      <c r="H3" s="46">
        <v>20.7</v>
      </c>
      <c r="I3" s="42">
        <v>10.24</v>
      </c>
      <c r="J3" s="9">
        <v>10.459999999999999</v>
      </c>
      <c r="K3" s="9">
        <v>2</v>
      </c>
      <c r="L3" s="19">
        <v>4</v>
      </c>
      <c r="M3" s="46">
        <v>36.56</v>
      </c>
      <c r="N3" s="42">
        <v>9.8000000000000007</v>
      </c>
      <c r="O3" s="9">
        <v>26.76</v>
      </c>
      <c r="P3" s="9">
        <v>1</v>
      </c>
      <c r="Q3" s="19">
        <v>3</v>
      </c>
      <c r="R3" s="46">
        <v>12.29</v>
      </c>
      <c r="S3" s="42">
        <v>5.28</v>
      </c>
      <c r="T3" s="9">
        <v>7.0099999999999989</v>
      </c>
      <c r="U3" s="9">
        <v>2</v>
      </c>
      <c r="V3" s="19">
        <v>4</v>
      </c>
      <c r="W3" s="46">
        <v>18.84</v>
      </c>
      <c r="X3" s="42">
        <v>6.98</v>
      </c>
      <c r="Y3" s="9">
        <v>11.86</v>
      </c>
      <c r="Z3" s="9">
        <v>4</v>
      </c>
      <c r="AA3" s="19">
        <v>7</v>
      </c>
      <c r="AB3" s="1"/>
      <c r="BA3" s="1"/>
      <c r="BC3" s="1"/>
      <c r="BZ3" s="1"/>
      <c r="CY3" s="1"/>
      <c r="DA3" s="1"/>
      <c r="DX3" s="1"/>
      <c r="EW3" s="1" t="s">
        <v>0</v>
      </c>
    </row>
    <row r="4" spans="1:153" ht="16.5" customHeight="1" thickBot="1" x14ac:dyDescent="0.3">
      <c r="A4" s="24"/>
      <c r="B4" s="25">
        <v>2</v>
      </c>
      <c r="C4" s="37">
        <v>7.9</v>
      </c>
      <c r="D4" s="43">
        <v>2.77</v>
      </c>
      <c r="E4" s="26">
        <v>5.1300000000000008</v>
      </c>
      <c r="F4" s="26">
        <v>1</v>
      </c>
      <c r="G4" s="27">
        <v>4</v>
      </c>
      <c r="H4" s="37">
        <v>12.15</v>
      </c>
      <c r="I4" s="43">
        <v>5.93</v>
      </c>
      <c r="J4" s="26">
        <v>6.2200000000000006</v>
      </c>
      <c r="K4" s="26">
        <v>2</v>
      </c>
      <c r="L4" s="27">
        <v>5</v>
      </c>
      <c r="M4" s="37">
        <v>16.02</v>
      </c>
      <c r="N4" s="43">
        <v>10.98</v>
      </c>
      <c r="O4" s="26">
        <v>5.0399999999999991</v>
      </c>
      <c r="P4" s="26">
        <v>1</v>
      </c>
      <c r="Q4" s="27">
        <v>4</v>
      </c>
      <c r="R4" s="37">
        <v>9.1199999999999992</v>
      </c>
      <c r="S4" s="43">
        <v>3.73</v>
      </c>
      <c r="T4" s="26">
        <v>5.3899999999999988</v>
      </c>
      <c r="U4" s="26">
        <v>1</v>
      </c>
      <c r="V4" s="27">
        <v>5</v>
      </c>
      <c r="W4" s="37">
        <v>12.01</v>
      </c>
      <c r="X4" s="43">
        <v>7.02</v>
      </c>
      <c r="Y4" s="26">
        <v>4.99</v>
      </c>
      <c r="Z4" s="26">
        <v>1</v>
      </c>
      <c r="AA4" s="27">
        <v>4</v>
      </c>
      <c r="AB4" s="1"/>
    </row>
    <row r="5" spans="1:153" ht="16.5" customHeight="1" x14ac:dyDescent="0.25">
      <c r="A5" s="4">
        <v>2</v>
      </c>
      <c r="B5" s="22">
        <v>1</v>
      </c>
      <c r="C5" s="38">
        <v>23.44</v>
      </c>
      <c r="D5" s="44">
        <v>2.76</v>
      </c>
      <c r="E5" s="23">
        <v>20.68</v>
      </c>
      <c r="F5" s="11">
        <v>1</v>
      </c>
      <c r="G5" s="16">
        <v>4</v>
      </c>
      <c r="H5" s="47">
        <v>19.91</v>
      </c>
      <c r="I5" s="44">
        <v>10.199999999999999</v>
      </c>
      <c r="J5" s="11">
        <v>9.7100000000000009</v>
      </c>
      <c r="K5" s="11">
        <v>2</v>
      </c>
      <c r="L5" s="16">
        <v>4</v>
      </c>
      <c r="M5" s="47">
        <v>21.45</v>
      </c>
      <c r="N5" s="44">
        <v>10.99</v>
      </c>
      <c r="O5" s="11">
        <v>10.459999999999999</v>
      </c>
      <c r="P5" s="11">
        <v>5</v>
      </c>
      <c r="Q5" s="16">
        <v>11</v>
      </c>
      <c r="R5" s="47">
        <v>19.23</v>
      </c>
      <c r="S5" s="44">
        <v>9.6</v>
      </c>
      <c r="T5" s="11">
        <v>9.6300000000000008</v>
      </c>
      <c r="U5" s="11">
        <v>1</v>
      </c>
      <c r="V5" s="16">
        <v>3</v>
      </c>
      <c r="W5" s="47">
        <v>18.920000000000002</v>
      </c>
      <c r="X5" s="44">
        <v>7.04</v>
      </c>
      <c r="Y5" s="11">
        <v>11.880000000000003</v>
      </c>
      <c r="Z5" s="11">
        <v>1</v>
      </c>
      <c r="AA5" s="16">
        <v>4</v>
      </c>
      <c r="AB5" s="1"/>
    </row>
    <row r="6" spans="1:153" ht="15.75" thickBot="1" x14ac:dyDescent="0.3">
      <c r="A6" s="24"/>
      <c r="B6" s="25">
        <v>2</v>
      </c>
      <c r="C6" s="39">
        <v>11.22</v>
      </c>
      <c r="D6" s="45">
        <v>2.75</v>
      </c>
      <c r="E6" s="29">
        <v>8.4700000000000006</v>
      </c>
      <c r="F6" s="28">
        <v>1</v>
      </c>
      <c r="G6" s="30">
        <v>3</v>
      </c>
      <c r="H6" s="48">
        <v>12.94</v>
      </c>
      <c r="I6" s="45">
        <v>5.99</v>
      </c>
      <c r="J6" s="28">
        <v>6.9499999999999993</v>
      </c>
      <c r="K6" s="28">
        <v>3</v>
      </c>
      <c r="L6" s="30">
        <v>5</v>
      </c>
      <c r="M6" s="48">
        <v>16.88</v>
      </c>
      <c r="N6" s="45">
        <v>11.06</v>
      </c>
      <c r="O6" s="28">
        <v>5.8199999999999985</v>
      </c>
      <c r="P6" s="28">
        <v>1</v>
      </c>
      <c r="Q6" s="30">
        <v>4</v>
      </c>
      <c r="R6" s="48">
        <v>12.42</v>
      </c>
      <c r="S6" s="45">
        <v>3.76</v>
      </c>
      <c r="T6" s="28">
        <v>8.66</v>
      </c>
      <c r="U6" s="28">
        <v>1</v>
      </c>
      <c r="V6" s="30">
        <v>3</v>
      </c>
      <c r="W6" s="48">
        <v>17.98</v>
      </c>
      <c r="X6" s="45">
        <v>7.06</v>
      </c>
      <c r="Y6" s="28">
        <v>10.920000000000002</v>
      </c>
      <c r="Z6" s="28">
        <v>1</v>
      </c>
      <c r="AA6" s="30">
        <v>3</v>
      </c>
      <c r="AB6" s="1"/>
    </row>
    <row r="7" spans="1:153" ht="13.5" customHeight="1" x14ac:dyDescent="0.25">
      <c r="A7" s="4">
        <v>3</v>
      </c>
      <c r="B7" s="22">
        <v>1</v>
      </c>
      <c r="C7" s="36">
        <v>19.36</v>
      </c>
      <c r="D7" s="42">
        <v>2.77</v>
      </c>
      <c r="E7" s="9">
        <v>16.59</v>
      </c>
      <c r="F7" s="9">
        <v>2</v>
      </c>
      <c r="G7" s="19">
        <v>5</v>
      </c>
      <c r="H7" s="46">
        <v>20.81</v>
      </c>
      <c r="I7" s="42">
        <v>10.23</v>
      </c>
      <c r="J7" s="9">
        <v>10.579999999999998</v>
      </c>
      <c r="K7" s="9">
        <v>2</v>
      </c>
      <c r="L7" s="19">
        <v>4</v>
      </c>
      <c r="M7" s="46">
        <v>22.56</v>
      </c>
      <c r="N7" s="42">
        <v>11.07</v>
      </c>
      <c r="O7" s="9">
        <v>11.489999999999998</v>
      </c>
      <c r="P7" s="9">
        <v>3</v>
      </c>
      <c r="Q7" s="19">
        <v>8</v>
      </c>
      <c r="R7" s="46">
        <v>17.579999999999998</v>
      </c>
      <c r="S7" s="42">
        <v>5.31</v>
      </c>
      <c r="T7" s="9">
        <v>12.27</v>
      </c>
      <c r="U7" s="9">
        <v>2</v>
      </c>
      <c r="V7" s="19">
        <v>4</v>
      </c>
      <c r="W7" s="46">
        <v>21.1</v>
      </c>
      <c r="X7" s="42">
        <v>11.28</v>
      </c>
      <c r="Y7" s="9">
        <v>9.8200000000000021</v>
      </c>
      <c r="Z7" s="9">
        <v>4</v>
      </c>
      <c r="AA7" s="19">
        <v>7</v>
      </c>
      <c r="AB7" s="1"/>
    </row>
    <row r="8" spans="1:153" ht="16.5" customHeight="1" thickBot="1" x14ac:dyDescent="0.3">
      <c r="A8" s="24"/>
      <c r="B8" s="25">
        <v>2</v>
      </c>
      <c r="C8" s="40">
        <v>7.6</v>
      </c>
      <c r="D8" s="43">
        <v>2.77</v>
      </c>
      <c r="E8" s="26">
        <v>4.83</v>
      </c>
      <c r="F8" s="26">
        <v>1</v>
      </c>
      <c r="G8" s="27">
        <v>4</v>
      </c>
      <c r="H8" s="37">
        <v>10.69</v>
      </c>
      <c r="I8" s="43">
        <v>5.96</v>
      </c>
      <c r="J8" s="26">
        <v>4.7299999999999995</v>
      </c>
      <c r="K8" s="26">
        <v>2</v>
      </c>
      <c r="L8" s="27">
        <v>5</v>
      </c>
      <c r="M8" s="37">
        <v>16.88</v>
      </c>
      <c r="N8" s="43">
        <v>10.99</v>
      </c>
      <c r="O8" s="26">
        <v>5.8899999999999988</v>
      </c>
      <c r="P8" s="26">
        <v>1</v>
      </c>
      <c r="Q8" s="27">
        <v>4</v>
      </c>
      <c r="R8" s="37">
        <v>12.03</v>
      </c>
      <c r="S8" s="43">
        <v>3.76</v>
      </c>
      <c r="T8" s="26">
        <v>8.27</v>
      </c>
      <c r="U8" s="26">
        <v>1</v>
      </c>
      <c r="V8" s="27">
        <v>4</v>
      </c>
      <c r="W8" s="37">
        <v>18.5</v>
      </c>
      <c r="X8" s="43">
        <v>7.03</v>
      </c>
      <c r="Y8" s="26">
        <v>11.469999999999999</v>
      </c>
      <c r="Z8" s="26">
        <v>1</v>
      </c>
      <c r="AA8" s="27">
        <v>3</v>
      </c>
      <c r="AB8" s="1"/>
    </row>
    <row r="9" spans="1:153" x14ac:dyDescent="0.25">
      <c r="A9" s="4">
        <v>4</v>
      </c>
      <c r="B9" s="22">
        <v>1</v>
      </c>
      <c r="C9" s="38">
        <v>22.03</v>
      </c>
      <c r="D9" s="44">
        <v>2.76</v>
      </c>
      <c r="E9" s="11">
        <v>19.270000000000003</v>
      </c>
      <c r="F9" s="11">
        <v>1</v>
      </c>
      <c r="G9" s="16">
        <v>3</v>
      </c>
      <c r="H9" s="47">
        <v>21.93</v>
      </c>
      <c r="I9" s="44">
        <v>6</v>
      </c>
      <c r="J9" s="11">
        <v>15.93</v>
      </c>
      <c r="K9" s="11">
        <v>3</v>
      </c>
      <c r="L9" s="16">
        <v>5</v>
      </c>
      <c r="M9" s="47">
        <v>22.91</v>
      </c>
      <c r="N9" s="44">
        <v>11.1</v>
      </c>
      <c r="O9" s="11">
        <v>11.81</v>
      </c>
      <c r="P9" s="11">
        <v>2</v>
      </c>
      <c r="Q9" s="16">
        <v>6</v>
      </c>
      <c r="R9" s="47">
        <v>21.5</v>
      </c>
      <c r="S9" s="44">
        <v>5.3</v>
      </c>
      <c r="T9" s="11">
        <v>16.2</v>
      </c>
      <c r="U9" s="11">
        <v>2</v>
      </c>
      <c r="V9" s="16">
        <v>4</v>
      </c>
      <c r="W9" s="47">
        <v>32.72</v>
      </c>
      <c r="X9" s="44">
        <v>11.31</v>
      </c>
      <c r="Y9" s="11">
        <v>21.409999999999997</v>
      </c>
      <c r="Z9" s="11">
        <v>4</v>
      </c>
      <c r="AA9" s="16">
        <v>6</v>
      </c>
    </row>
    <row r="10" spans="1:153" ht="15.75" thickBot="1" x14ac:dyDescent="0.3">
      <c r="A10" s="24"/>
      <c r="B10" s="25">
        <v>2</v>
      </c>
      <c r="C10" s="39">
        <v>8.8699999999999992</v>
      </c>
      <c r="D10" s="45">
        <v>2.78</v>
      </c>
      <c r="E10" s="28">
        <v>6.09</v>
      </c>
      <c r="F10" s="28">
        <v>1</v>
      </c>
      <c r="G10" s="30">
        <v>4</v>
      </c>
      <c r="H10" s="48">
        <v>18.46</v>
      </c>
      <c r="I10" s="45">
        <v>5.99</v>
      </c>
      <c r="J10" s="28">
        <v>12.47</v>
      </c>
      <c r="K10" s="28">
        <v>4</v>
      </c>
      <c r="L10" s="30">
        <v>7</v>
      </c>
      <c r="M10" s="48">
        <v>21.02</v>
      </c>
      <c r="N10" s="45">
        <v>10.99</v>
      </c>
      <c r="O10" s="28">
        <v>10.029999999999999</v>
      </c>
      <c r="P10" s="28">
        <v>1</v>
      </c>
      <c r="Q10" s="30">
        <v>3</v>
      </c>
      <c r="R10" s="48">
        <v>15.03</v>
      </c>
      <c r="S10" s="45">
        <v>3.75</v>
      </c>
      <c r="T10" s="28">
        <v>11.28</v>
      </c>
      <c r="U10" s="28">
        <v>1</v>
      </c>
      <c r="V10" s="30">
        <v>3</v>
      </c>
      <c r="W10" s="48">
        <v>21.02</v>
      </c>
      <c r="X10" s="45">
        <v>7.03</v>
      </c>
      <c r="Y10" s="28">
        <v>13.989999999999998</v>
      </c>
      <c r="Z10" s="28">
        <v>1</v>
      </c>
      <c r="AA10" s="30">
        <v>3</v>
      </c>
      <c r="AB10" s="1"/>
    </row>
    <row r="11" spans="1:153" ht="14.25" customHeight="1" x14ac:dyDescent="0.25">
      <c r="A11" s="4">
        <v>5</v>
      </c>
      <c r="B11" s="22">
        <v>1</v>
      </c>
      <c r="C11" s="36">
        <v>23</v>
      </c>
      <c r="D11" s="42">
        <v>2.77</v>
      </c>
      <c r="E11" s="9">
        <v>20.23</v>
      </c>
      <c r="F11" s="9">
        <v>2</v>
      </c>
      <c r="G11" s="19">
        <v>6</v>
      </c>
      <c r="H11" s="46">
        <v>29.87</v>
      </c>
      <c r="I11" s="42">
        <v>10.27</v>
      </c>
      <c r="J11" s="9">
        <v>19.600000000000001</v>
      </c>
      <c r="K11" s="9">
        <v>3</v>
      </c>
      <c r="L11" s="19">
        <v>6</v>
      </c>
      <c r="M11" s="46">
        <v>28.29</v>
      </c>
      <c r="N11" s="42">
        <v>11.05</v>
      </c>
      <c r="O11" s="9">
        <v>17.239999999999998</v>
      </c>
      <c r="P11" s="9">
        <v>1</v>
      </c>
      <c r="Q11" s="19">
        <v>3</v>
      </c>
      <c r="R11" s="46">
        <v>22.97</v>
      </c>
      <c r="S11" s="42">
        <v>9.65</v>
      </c>
      <c r="T11" s="9">
        <v>13.319999999999999</v>
      </c>
      <c r="U11" s="9">
        <v>1</v>
      </c>
      <c r="V11" s="19">
        <v>3</v>
      </c>
      <c r="W11" s="46">
        <v>27.32</v>
      </c>
      <c r="X11" s="42">
        <v>15.61</v>
      </c>
      <c r="Y11" s="9">
        <v>11.71</v>
      </c>
      <c r="Z11" s="9">
        <v>1</v>
      </c>
      <c r="AA11" s="19">
        <v>3</v>
      </c>
      <c r="AB11" s="1"/>
    </row>
    <row r="12" spans="1:153" ht="15.75" thickBot="1" x14ac:dyDescent="0.3">
      <c r="A12" s="24"/>
      <c r="B12" s="25">
        <v>2</v>
      </c>
      <c r="C12" s="36">
        <v>16.41</v>
      </c>
      <c r="D12" s="42">
        <v>2.77</v>
      </c>
      <c r="E12" s="10">
        <v>13.64</v>
      </c>
      <c r="F12" s="9">
        <v>1</v>
      </c>
      <c r="G12" s="19">
        <v>3</v>
      </c>
      <c r="H12" s="46">
        <v>21.43</v>
      </c>
      <c r="I12" s="42">
        <v>5.97</v>
      </c>
      <c r="J12" s="9">
        <v>15.46</v>
      </c>
      <c r="K12" s="9">
        <v>2</v>
      </c>
      <c r="L12" s="19">
        <v>4</v>
      </c>
      <c r="M12" s="46">
        <v>26.67</v>
      </c>
      <c r="N12" s="42">
        <v>11.04</v>
      </c>
      <c r="O12" s="9">
        <v>15.630000000000003</v>
      </c>
      <c r="P12" s="9">
        <v>1</v>
      </c>
      <c r="Q12" s="19">
        <v>3</v>
      </c>
      <c r="R12" s="46">
        <v>16.829999999999998</v>
      </c>
      <c r="S12" s="42">
        <v>3.77</v>
      </c>
      <c r="T12" s="9">
        <v>13.059999999999999</v>
      </c>
      <c r="U12" s="9">
        <v>1</v>
      </c>
      <c r="V12" s="19">
        <v>3</v>
      </c>
      <c r="W12" s="46">
        <v>22.22</v>
      </c>
      <c r="X12" s="42">
        <v>7.03</v>
      </c>
      <c r="Y12" s="9">
        <v>15.189999999999998</v>
      </c>
      <c r="Z12" s="9">
        <v>1</v>
      </c>
      <c r="AA12" s="19">
        <v>3</v>
      </c>
    </row>
    <row r="13" spans="1:153" x14ac:dyDescent="0.25">
      <c r="A13" s="4">
        <v>6</v>
      </c>
      <c r="B13" s="22">
        <v>1</v>
      </c>
      <c r="C13" s="38"/>
      <c r="D13" s="44"/>
      <c r="E13" s="11"/>
      <c r="F13" s="11"/>
      <c r="G13" s="16"/>
      <c r="H13" s="47"/>
      <c r="I13" s="44"/>
      <c r="J13" s="11"/>
      <c r="K13" s="11"/>
      <c r="L13" s="16"/>
      <c r="M13" s="47"/>
      <c r="N13" s="44"/>
      <c r="O13" s="11"/>
      <c r="P13" s="11"/>
      <c r="Q13" s="16"/>
      <c r="R13" s="47"/>
      <c r="S13" s="44"/>
      <c r="T13" s="11"/>
      <c r="U13" s="11"/>
      <c r="V13" s="16"/>
      <c r="W13" s="47"/>
      <c r="X13" s="44"/>
      <c r="Y13" s="11"/>
      <c r="Z13" s="11"/>
      <c r="AA13" s="16"/>
    </row>
    <row r="14" spans="1:153" ht="15.75" thickBot="1" x14ac:dyDescent="0.3">
      <c r="A14" s="24"/>
      <c r="B14" s="25">
        <v>2</v>
      </c>
      <c r="C14" s="39"/>
      <c r="D14" s="45"/>
      <c r="E14" s="28"/>
      <c r="F14" s="28"/>
      <c r="G14" s="30"/>
      <c r="H14" s="48"/>
      <c r="I14" s="45"/>
      <c r="J14" s="28"/>
      <c r="K14" s="28"/>
      <c r="L14" s="30"/>
      <c r="M14" s="48"/>
      <c r="N14" s="45"/>
      <c r="O14" s="28"/>
      <c r="P14" s="28"/>
      <c r="Q14" s="30"/>
      <c r="R14" s="48"/>
      <c r="S14" s="45"/>
      <c r="T14" s="28"/>
      <c r="U14" s="28"/>
      <c r="V14" s="30"/>
      <c r="W14" s="48"/>
      <c r="X14" s="45"/>
      <c r="Y14" s="28"/>
      <c r="Z14" s="28"/>
      <c r="AA14" s="30"/>
    </row>
    <row r="15" spans="1:153" x14ac:dyDescent="0.25">
      <c r="A15" s="4">
        <v>7</v>
      </c>
      <c r="B15" s="22">
        <v>1</v>
      </c>
      <c r="C15" s="36"/>
      <c r="D15" s="42"/>
      <c r="E15" s="9"/>
      <c r="F15" s="9"/>
      <c r="G15" s="19"/>
      <c r="H15" s="46"/>
      <c r="I15" s="42"/>
      <c r="J15" s="9"/>
      <c r="K15" s="9"/>
      <c r="L15" s="19"/>
      <c r="M15" s="46"/>
      <c r="N15" s="42"/>
      <c r="O15" s="9"/>
      <c r="P15" s="9"/>
      <c r="Q15" s="19"/>
      <c r="R15" s="46"/>
      <c r="S15" s="42"/>
      <c r="T15" s="9"/>
      <c r="U15" s="9"/>
      <c r="V15" s="19"/>
      <c r="W15" s="46"/>
      <c r="X15" s="42"/>
      <c r="Y15" s="9"/>
      <c r="Z15" s="9"/>
      <c r="AA15" s="19"/>
    </row>
    <row r="16" spans="1:153" ht="15.75" thickBot="1" x14ac:dyDescent="0.3">
      <c r="A16" s="24"/>
      <c r="B16" s="25">
        <v>2</v>
      </c>
      <c r="C16" s="36"/>
      <c r="D16" s="42"/>
      <c r="E16" s="10"/>
      <c r="F16" s="9"/>
      <c r="G16" s="19"/>
      <c r="H16" s="46"/>
      <c r="I16" s="42"/>
      <c r="J16" s="9"/>
      <c r="K16" s="9"/>
      <c r="L16" s="19"/>
      <c r="M16" s="46"/>
      <c r="N16" s="42"/>
      <c r="O16" s="9"/>
      <c r="P16" s="9"/>
      <c r="Q16" s="19"/>
      <c r="R16" s="46"/>
      <c r="S16" s="42"/>
      <c r="T16" s="9"/>
      <c r="U16" s="9"/>
      <c r="V16" s="19"/>
      <c r="W16" s="46"/>
      <c r="X16" s="42"/>
      <c r="Y16" s="9"/>
      <c r="Z16" s="9"/>
      <c r="AA16" s="19"/>
    </row>
    <row r="17" spans="1:27" x14ac:dyDescent="0.25">
      <c r="A17" s="4">
        <v>8</v>
      </c>
      <c r="B17" s="22">
        <v>1</v>
      </c>
      <c r="C17" s="38"/>
      <c r="D17" s="44"/>
      <c r="E17" s="11"/>
      <c r="F17" s="11"/>
      <c r="G17" s="16"/>
      <c r="H17" s="47"/>
      <c r="I17" s="44"/>
      <c r="J17" s="11"/>
      <c r="K17" s="11"/>
      <c r="L17" s="16"/>
      <c r="M17" s="47"/>
      <c r="N17" s="44"/>
      <c r="O17" s="11"/>
      <c r="P17" s="11"/>
      <c r="Q17" s="16"/>
      <c r="R17" s="47"/>
      <c r="S17" s="44"/>
      <c r="T17" s="11"/>
      <c r="U17" s="11"/>
      <c r="V17" s="16"/>
      <c r="W17" s="47"/>
      <c r="X17" s="44"/>
      <c r="Y17" s="11"/>
      <c r="Z17" s="11"/>
      <c r="AA17" s="16"/>
    </row>
    <row r="18" spans="1:27" ht="15.75" thickBot="1" x14ac:dyDescent="0.3">
      <c r="A18" s="24"/>
      <c r="B18" s="25">
        <v>2</v>
      </c>
      <c r="C18" s="39"/>
      <c r="D18" s="45"/>
      <c r="E18" s="28"/>
      <c r="F18" s="28"/>
      <c r="G18" s="30"/>
      <c r="H18" s="48"/>
      <c r="I18" s="45"/>
      <c r="J18" s="28"/>
      <c r="K18" s="28"/>
      <c r="L18" s="30"/>
      <c r="M18" s="48"/>
      <c r="N18" s="45"/>
      <c r="O18" s="28"/>
      <c r="P18" s="28"/>
      <c r="Q18" s="30"/>
      <c r="R18" s="48"/>
      <c r="S18" s="45"/>
      <c r="T18" s="28"/>
      <c r="U18" s="28"/>
      <c r="V18" s="30"/>
      <c r="W18" s="48"/>
      <c r="X18" s="45"/>
      <c r="Y18" s="28"/>
      <c r="Z18" s="28"/>
      <c r="AA18" s="30"/>
    </row>
    <row r="19" spans="1:27" x14ac:dyDescent="0.25">
      <c r="A19" s="4">
        <v>9</v>
      </c>
      <c r="B19" s="22">
        <v>1</v>
      </c>
      <c r="C19" s="36"/>
      <c r="D19" s="42"/>
      <c r="E19" s="9"/>
      <c r="F19" s="9"/>
      <c r="G19" s="19"/>
      <c r="H19" s="46"/>
      <c r="I19" s="42"/>
      <c r="J19" s="9"/>
      <c r="K19" s="9"/>
      <c r="L19" s="19"/>
      <c r="M19" s="46"/>
      <c r="N19" s="42"/>
      <c r="O19" s="9"/>
      <c r="P19" s="9"/>
      <c r="Q19" s="19"/>
      <c r="R19" s="46"/>
      <c r="S19" s="42"/>
      <c r="T19" s="9"/>
      <c r="U19" s="9"/>
      <c r="V19" s="19"/>
      <c r="W19" s="46"/>
      <c r="X19" s="42"/>
      <c r="Y19" s="9"/>
      <c r="Z19" s="9"/>
      <c r="AA19" s="19"/>
    </row>
    <row r="20" spans="1:27" ht="15.75" thickBot="1" x14ac:dyDescent="0.3">
      <c r="A20" s="24"/>
      <c r="B20" s="25">
        <v>2</v>
      </c>
      <c r="C20" s="36"/>
      <c r="D20" s="42"/>
      <c r="E20" s="10"/>
      <c r="F20" s="9"/>
      <c r="G20" s="19"/>
      <c r="H20" s="46"/>
      <c r="I20" s="42"/>
      <c r="J20" s="9"/>
      <c r="K20" s="9"/>
      <c r="L20" s="19"/>
      <c r="M20" s="46"/>
      <c r="N20" s="42"/>
      <c r="O20" s="9"/>
      <c r="P20" s="9"/>
      <c r="Q20" s="19"/>
      <c r="R20" s="46"/>
      <c r="S20" s="42"/>
      <c r="T20" s="9"/>
      <c r="U20" s="9"/>
      <c r="V20" s="19"/>
      <c r="W20" s="46"/>
      <c r="X20" s="42"/>
      <c r="Y20" s="9"/>
      <c r="Z20" s="9"/>
      <c r="AA20" s="19"/>
    </row>
    <row r="21" spans="1:27" x14ac:dyDescent="0.25">
      <c r="A21" s="4">
        <v>10</v>
      </c>
      <c r="B21" s="22">
        <v>1</v>
      </c>
      <c r="C21" s="38"/>
      <c r="D21" s="44"/>
      <c r="E21" s="11"/>
      <c r="F21" s="11"/>
      <c r="G21" s="16"/>
      <c r="H21" s="47"/>
      <c r="I21" s="44"/>
      <c r="J21" s="11"/>
      <c r="K21" s="11"/>
      <c r="L21" s="16"/>
      <c r="M21" s="47"/>
      <c r="N21" s="44"/>
      <c r="O21" s="11"/>
      <c r="P21" s="11"/>
      <c r="Q21" s="16"/>
      <c r="R21" s="47"/>
      <c r="S21" s="44"/>
      <c r="T21" s="11"/>
      <c r="U21" s="11"/>
      <c r="V21" s="16"/>
      <c r="W21" s="47"/>
      <c r="X21" s="44"/>
      <c r="Y21" s="11"/>
      <c r="Z21" s="11"/>
      <c r="AA21" s="16"/>
    </row>
    <row r="22" spans="1:27" ht="15.75" thickBot="1" x14ac:dyDescent="0.3">
      <c r="A22" s="24"/>
      <c r="B22" s="25">
        <v>1.9523809523809501</v>
      </c>
      <c r="C22" s="39"/>
      <c r="D22" s="45"/>
      <c r="E22" s="28"/>
      <c r="F22" s="28"/>
      <c r="G22" s="30"/>
      <c r="H22" s="48"/>
      <c r="I22" s="45"/>
      <c r="J22" s="28"/>
      <c r="K22" s="28"/>
      <c r="L22" s="30"/>
      <c r="M22" s="48"/>
      <c r="N22" s="45"/>
      <c r="O22" s="28"/>
      <c r="P22" s="28"/>
      <c r="Q22" s="30"/>
      <c r="R22" s="48"/>
      <c r="S22" s="45"/>
      <c r="T22" s="28"/>
      <c r="U22" s="28"/>
      <c r="V22" s="30"/>
      <c r="W22" s="48"/>
      <c r="X22" s="45"/>
      <c r="Y22" s="28"/>
      <c r="Z22" s="28"/>
      <c r="AA22" s="30"/>
    </row>
    <row r="23" spans="1:27" x14ac:dyDescent="0.25">
      <c r="A23" s="4">
        <v>11</v>
      </c>
      <c r="B23" s="22">
        <v>1</v>
      </c>
      <c r="C23" s="36"/>
      <c r="D23" s="42"/>
      <c r="E23" s="9"/>
      <c r="F23" s="9"/>
      <c r="G23" s="19"/>
      <c r="H23" s="46"/>
      <c r="I23" s="42"/>
      <c r="J23" s="9"/>
      <c r="K23" s="9"/>
      <c r="L23" s="19"/>
      <c r="M23" s="46"/>
      <c r="N23" s="42"/>
      <c r="O23" s="9"/>
      <c r="P23" s="9"/>
      <c r="Q23" s="19"/>
      <c r="R23" s="46"/>
      <c r="S23" s="42"/>
      <c r="T23" s="9"/>
      <c r="U23" s="9"/>
      <c r="V23" s="19"/>
      <c r="W23" s="46"/>
      <c r="X23" s="42"/>
      <c r="Y23" s="9"/>
      <c r="Z23" s="9"/>
      <c r="AA23" s="19"/>
    </row>
    <row r="24" spans="1:27" ht="15.75" thickBot="1" x14ac:dyDescent="0.3">
      <c r="A24" s="24"/>
      <c r="B24" s="25">
        <v>2.0476190476190501</v>
      </c>
      <c r="C24" s="36"/>
      <c r="D24" s="42"/>
      <c r="E24" s="10"/>
      <c r="F24" s="9"/>
      <c r="G24" s="19"/>
      <c r="H24" s="46"/>
      <c r="I24" s="42"/>
      <c r="J24" s="9"/>
      <c r="K24" s="9"/>
      <c r="L24" s="19"/>
      <c r="M24" s="46"/>
      <c r="N24" s="42"/>
      <c r="O24" s="9"/>
      <c r="P24" s="9"/>
      <c r="Q24" s="19"/>
      <c r="R24" s="46"/>
      <c r="S24" s="42"/>
      <c r="T24" s="9"/>
      <c r="U24" s="9"/>
      <c r="V24" s="19"/>
      <c r="W24" s="46"/>
      <c r="X24" s="42"/>
      <c r="Y24" s="9"/>
      <c r="Z24" s="9"/>
      <c r="AA24" s="19"/>
    </row>
    <row r="25" spans="1:27" x14ac:dyDescent="0.25">
      <c r="A25" s="4">
        <v>12</v>
      </c>
      <c r="B25" s="22">
        <v>1</v>
      </c>
      <c r="C25" s="38"/>
      <c r="D25" s="44"/>
      <c r="E25" s="11"/>
      <c r="F25" s="11"/>
      <c r="G25" s="16"/>
      <c r="H25" s="47"/>
      <c r="I25" s="44"/>
      <c r="J25" s="11"/>
      <c r="K25" s="11"/>
      <c r="L25" s="16"/>
      <c r="M25" s="47"/>
      <c r="N25" s="44"/>
      <c r="O25" s="11"/>
      <c r="P25" s="11"/>
      <c r="Q25" s="16"/>
      <c r="R25" s="47"/>
      <c r="S25" s="44"/>
      <c r="T25" s="11"/>
      <c r="U25" s="11"/>
      <c r="V25" s="16"/>
      <c r="W25" s="47"/>
      <c r="X25" s="44"/>
      <c r="Y25" s="11"/>
      <c r="Z25" s="11"/>
      <c r="AA25" s="16"/>
    </row>
    <row r="26" spans="1:27" ht="15.75" thickBot="1" x14ac:dyDescent="0.3">
      <c r="A26" s="24"/>
      <c r="B26" s="25">
        <v>2</v>
      </c>
      <c r="C26" s="39"/>
      <c r="D26" s="45"/>
      <c r="E26" s="28"/>
      <c r="F26" s="28"/>
      <c r="G26" s="30"/>
      <c r="H26" s="48"/>
      <c r="I26" s="45"/>
      <c r="J26" s="28"/>
      <c r="K26" s="28"/>
      <c r="L26" s="30"/>
      <c r="M26" s="48"/>
      <c r="N26" s="45"/>
      <c r="O26" s="28"/>
      <c r="P26" s="28"/>
      <c r="Q26" s="30"/>
      <c r="R26" s="48"/>
      <c r="S26" s="45"/>
      <c r="T26" s="28"/>
      <c r="U26" s="28"/>
      <c r="V26" s="30"/>
      <c r="W26" s="48"/>
      <c r="X26" s="45"/>
      <c r="Y26" s="28"/>
      <c r="Z26" s="28"/>
      <c r="AA26" s="30"/>
    </row>
    <row r="27" spans="1:27" x14ac:dyDescent="0.25">
      <c r="A27" s="4">
        <v>13</v>
      </c>
      <c r="B27" s="22">
        <v>1</v>
      </c>
      <c r="C27" s="36"/>
      <c r="D27" s="42"/>
      <c r="E27" s="9"/>
      <c r="F27" s="9"/>
      <c r="G27" s="19"/>
      <c r="H27" s="46"/>
      <c r="I27" s="42"/>
      <c r="J27" s="9"/>
      <c r="K27" s="9"/>
      <c r="L27" s="19"/>
      <c r="M27" s="46"/>
      <c r="N27" s="42"/>
      <c r="O27" s="9"/>
      <c r="P27" s="9"/>
      <c r="Q27" s="19"/>
      <c r="R27" s="46"/>
      <c r="S27" s="42"/>
      <c r="T27" s="9"/>
      <c r="U27" s="9"/>
      <c r="V27" s="19"/>
      <c r="W27" s="46"/>
      <c r="X27" s="42"/>
      <c r="Y27" s="9"/>
      <c r="Z27" s="9"/>
      <c r="AA27" s="19"/>
    </row>
    <row r="28" spans="1:27" ht="15.75" thickBot="1" x14ac:dyDescent="0.3">
      <c r="A28" s="24"/>
      <c r="B28" s="25">
        <v>2</v>
      </c>
      <c r="C28" s="36"/>
      <c r="D28" s="42"/>
      <c r="E28" s="10"/>
      <c r="F28" s="9"/>
      <c r="G28" s="19"/>
      <c r="H28" s="46"/>
      <c r="I28" s="42"/>
      <c r="J28" s="9"/>
      <c r="K28" s="9"/>
      <c r="L28" s="19"/>
      <c r="M28" s="46"/>
      <c r="N28" s="42"/>
      <c r="O28" s="9"/>
      <c r="P28" s="9"/>
      <c r="Q28" s="19"/>
      <c r="R28" s="46"/>
      <c r="S28" s="42"/>
      <c r="T28" s="9"/>
      <c r="U28" s="9"/>
      <c r="V28" s="19"/>
      <c r="W28" s="46"/>
      <c r="X28" s="42"/>
      <c r="Y28" s="9"/>
      <c r="Z28" s="9"/>
      <c r="AA28" s="19"/>
    </row>
    <row r="29" spans="1:27" x14ac:dyDescent="0.25">
      <c r="A29" s="4">
        <v>14</v>
      </c>
      <c r="B29" s="22">
        <v>1</v>
      </c>
      <c r="C29" s="38"/>
      <c r="D29" s="44"/>
      <c r="E29" s="11"/>
      <c r="F29" s="11"/>
      <c r="G29" s="16"/>
      <c r="H29" s="47"/>
      <c r="I29" s="44"/>
      <c r="J29" s="11"/>
      <c r="K29" s="11"/>
      <c r="L29" s="16"/>
      <c r="M29" s="47"/>
      <c r="N29" s="44"/>
      <c r="O29" s="11"/>
      <c r="P29" s="11"/>
      <c r="Q29" s="16"/>
      <c r="R29" s="47"/>
      <c r="S29" s="44"/>
      <c r="T29" s="11"/>
      <c r="U29" s="11"/>
      <c r="V29" s="16"/>
      <c r="W29" s="47"/>
      <c r="X29" s="44"/>
      <c r="Y29" s="11"/>
      <c r="Z29" s="11"/>
      <c r="AA29" s="16"/>
    </row>
    <row r="30" spans="1:27" ht="15.75" thickBot="1" x14ac:dyDescent="0.3">
      <c r="A30" s="24"/>
      <c r="B30" s="25">
        <v>2</v>
      </c>
      <c r="C30" s="39"/>
      <c r="D30" s="45"/>
      <c r="E30" s="28"/>
      <c r="F30" s="28"/>
      <c r="G30" s="30"/>
      <c r="H30" s="48"/>
      <c r="I30" s="45"/>
      <c r="J30" s="28"/>
      <c r="K30" s="28"/>
      <c r="L30" s="30"/>
      <c r="M30" s="48"/>
      <c r="N30" s="45"/>
      <c r="O30" s="28"/>
      <c r="P30" s="28"/>
      <c r="Q30" s="30"/>
      <c r="R30" s="48"/>
      <c r="S30" s="45"/>
      <c r="T30" s="28"/>
      <c r="U30" s="28"/>
      <c r="V30" s="30"/>
      <c r="W30" s="48"/>
      <c r="X30" s="45"/>
      <c r="Y30" s="28"/>
      <c r="Z30" s="28"/>
      <c r="AA30" s="30"/>
    </row>
    <row r="31" spans="1:27" x14ac:dyDescent="0.25">
      <c r="A31" s="4">
        <v>15</v>
      </c>
      <c r="B31" s="22">
        <v>1</v>
      </c>
      <c r="C31" s="36"/>
      <c r="D31" s="42"/>
      <c r="E31" s="9"/>
      <c r="F31" s="9"/>
      <c r="G31" s="19"/>
      <c r="H31" s="46"/>
      <c r="I31" s="42"/>
      <c r="J31" s="9"/>
      <c r="K31" s="9"/>
      <c r="L31" s="19"/>
      <c r="M31" s="46"/>
      <c r="N31" s="42"/>
      <c r="O31" s="9"/>
      <c r="P31" s="9"/>
      <c r="Q31" s="19"/>
      <c r="R31" s="46"/>
      <c r="S31" s="42"/>
      <c r="T31" s="9"/>
      <c r="U31" s="9"/>
      <c r="V31" s="19"/>
      <c r="W31" s="46"/>
      <c r="X31" s="42"/>
      <c r="Y31" s="9"/>
      <c r="Z31" s="9"/>
      <c r="AA31" s="19"/>
    </row>
    <row r="32" spans="1:27" ht="15.75" thickBot="1" x14ac:dyDescent="0.3">
      <c r="A32" s="24"/>
      <c r="B32" s="25">
        <v>2</v>
      </c>
      <c r="C32" s="36"/>
      <c r="D32" s="42"/>
      <c r="E32" s="10"/>
      <c r="F32" s="9"/>
      <c r="G32" s="19"/>
      <c r="H32" s="46"/>
      <c r="I32" s="42"/>
      <c r="J32" s="9"/>
      <c r="K32" s="9"/>
      <c r="L32" s="19"/>
      <c r="M32" s="46"/>
      <c r="N32" s="42"/>
      <c r="O32" s="9"/>
      <c r="P32" s="9"/>
      <c r="Q32" s="19"/>
      <c r="R32" s="46"/>
      <c r="S32" s="42"/>
      <c r="T32" s="9"/>
      <c r="U32" s="9"/>
      <c r="V32" s="19"/>
      <c r="W32" s="46"/>
      <c r="X32" s="42"/>
      <c r="Y32" s="9"/>
      <c r="Z32" s="9"/>
      <c r="AA32" s="19"/>
    </row>
    <row r="34" spans="4:24" x14ac:dyDescent="0.25">
      <c r="D34"/>
      <c r="H34"/>
      <c r="I34"/>
      <c r="M34"/>
      <c r="N34"/>
      <c r="R34"/>
      <c r="S34"/>
      <c r="W34"/>
      <c r="X34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3A612-8936-4FF1-861D-56C7C2AEA1C2}">
  <sheetPr codeName="Arkusz10"/>
  <dimension ref="A1:E1"/>
  <sheetViews>
    <sheetView workbookViewId="0"/>
  </sheetViews>
  <sheetFormatPr defaultRowHeight="15" x14ac:dyDescent="0.25"/>
  <sheetData>
    <row r="1" spans="1:5" x14ac:dyDescent="0.25">
      <c r="A1" t="s">
        <v>53</v>
      </c>
      <c r="B1" t="s">
        <v>54</v>
      </c>
      <c r="C1" t="s">
        <v>55</v>
      </c>
      <c r="D1" t="s">
        <v>56</v>
      </c>
      <c r="E1" t="s">
        <v>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52E0D-E81A-4560-AFA8-1E6161316197}">
  <sheetPr codeName="Arkusz3"/>
  <dimension ref="A1:EW32"/>
  <sheetViews>
    <sheetView workbookViewId="0">
      <selection sqref="A1:AA26"/>
    </sheetView>
  </sheetViews>
  <sheetFormatPr defaultRowHeight="15" x14ac:dyDescent="0.25"/>
  <cols>
    <col min="1" max="1" width="4.5703125" customWidth="1"/>
    <col min="2" max="2" width="4.42578125" customWidth="1"/>
    <col min="3" max="3" width="9.140625" style="41"/>
    <col min="4" max="4" width="10.85546875" style="41" customWidth="1"/>
    <col min="5" max="5" width="8.28515625" customWidth="1"/>
    <col min="6" max="6" width="5.140625" customWidth="1"/>
    <col min="7" max="7" width="5.28515625" customWidth="1"/>
    <col min="8" max="9" width="9.140625" style="41"/>
    <col min="10" max="10" width="8.140625" customWidth="1"/>
    <col min="11" max="11" width="6" customWidth="1"/>
    <col min="12" max="12" width="5.7109375" customWidth="1"/>
    <col min="13" max="14" width="9.140625" style="41"/>
    <col min="15" max="15" width="8.140625" customWidth="1"/>
    <col min="16" max="16" width="5.5703125" customWidth="1"/>
    <col min="17" max="17" width="5.85546875" customWidth="1"/>
    <col min="18" max="19" width="9.140625" style="41"/>
    <col min="20" max="20" width="7.28515625" customWidth="1"/>
    <col min="21" max="21" width="5.42578125" customWidth="1"/>
    <col min="22" max="22" width="5.28515625" customWidth="1"/>
    <col min="23" max="24" width="9.140625" style="41"/>
    <col min="25" max="25" width="8.5703125" customWidth="1"/>
    <col min="26" max="26" width="5.140625" customWidth="1"/>
    <col min="27" max="27" width="5.42578125" customWidth="1"/>
  </cols>
  <sheetData>
    <row r="1" spans="1:153" s="2" customFormat="1" x14ac:dyDescent="0.25">
      <c r="A1" s="5"/>
      <c r="B1" s="21"/>
      <c r="C1" s="6"/>
      <c r="D1" s="7"/>
      <c r="E1" s="7" t="s">
        <v>3</v>
      </c>
      <c r="F1" s="7"/>
      <c r="G1" s="17"/>
      <c r="H1" s="8"/>
      <c r="I1" s="8"/>
      <c r="J1" s="8" t="s">
        <v>4</v>
      </c>
      <c r="K1" s="8"/>
      <c r="L1" s="14"/>
      <c r="M1" s="7"/>
      <c r="N1" s="7"/>
      <c r="O1" s="7" t="s">
        <v>5</v>
      </c>
      <c r="P1" s="7"/>
      <c r="Q1" s="17"/>
      <c r="R1" s="8"/>
      <c r="S1" s="8"/>
      <c r="T1" s="8" t="s">
        <v>6</v>
      </c>
      <c r="U1" s="8"/>
      <c r="V1" s="14"/>
      <c r="W1" s="7"/>
      <c r="X1" s="7"/>
      <c r="Y1" s="7" t="s">
        <v>35</v>
      </c>
      <c r="Z1" s="7"/>
      <c r="AA1" s="20"/>
    </row>
    <row r="2" spans="1:153" s="3" customFormat="1" ht="15.75" thickBot="1" x14ac:dyDescent="0.3">
      <c r="A2" s="12" t="s">
        <v>1</v>
      </c>
      <c r="B2" s="18" t="s">
        <v>2</v>
      </c>
      <c r="C2" s="12" t="s">
        <v>7</v>
      </c>
      <c r="D2" s="12" t="s">
        <v>8</v>
      </c>
      <c r="E2" s="12" t="s">
        <v>36</v>
      </c>
      <c r="F2" s="12" t="s">
        <v>10</v>
      </c>
      <c r="G2" s="18" t="s">
        <v>9</v>
      </c>
      <c r="H2" s="13" t="s">
        <v>7</v>
      </c>
      <c r="I2" s="13" t="s">
        <v>8</v>
      </c>
      <c r="J2" s="13" t="s">
        <v>36</v>
      </c>
      <c r="K2" s="13" t="s">
        <v>10</v>
      </c>
      <c r="L2" s="15" t="s">
        <v>9</v>
      </c>
      <c r="M2" s="12" t="s">
        <v>7</v>
      </c>
      <c r="N2" s="12" t="s">
        <v>8</v>
      </c>
      <c r="O2" s="12" t="s">
        <v>36</v>
      </c>
      <c r="P2" s="12" t="s">
        <v>10</v>
      </c>
      <c r="Q2" s="18" t="s">
        <v>9</v>
      </c>
      <c r="R2" s="13" t="s">
        <v>7</v>
      </c>
      <c r="S2" s="13" t="s">
        <v>8</v>
      </c>
      <c r="T2" s="13" t="s">
        <v>36</v>
      </c>
      <c r="U2" s="13" t="s">
        <v>10</v>
      </c>
      <c r="V2" s="15" t="s">
        <v>9</v>
      </c>
      <c r="W2" s="12" t="s">
        <v>7</v>
      </c>
      <c r="X2" s="12" t="s">
        <v>8</v>
      </c>
      <c r="Y2" s="12" t="s">
        <v>36</v>
      </c>
      <c r="Z2" s="12" t="s">
        <v>10</v>
      </c>
      <c r="AA2" s="18" t="s">
        <v>9</v>
      </c>
    </row>
    <row r="3" spans="1:153" ht="18" customHeight="1" thickTop="1" x14ac:dyDescent="0.25">
      <c r="A3" s="4">
        <v>1</v>
      </c>
      <c r="B3" s="22">
        <v>1</v>
      </c>
      <c r="C3" s="36">
        <v>23.85</v>
      </c>
      <c r="D3" s="42">
        <v>2.77</v>
      </c>
      <c r="E3" s="10">
        <v>21.080000000000002</v>
      </c>
      <c r="F3" s="9">
        <v>5</v>
      </c>
      <c r="G3" s="19">
        <v>8</v>
      </c>
      <c r="H3" s="46">
        <v>27.79</v>
      </c>
      <c r="I3" s="42">
        <v>14.48</v>
      </c>
      <c r="J3" s="9">
        <v>13.309999999999999</v>
      </c>
      <c r="K3" s="9">
        <v>3</v>
      </c>
      <c r="L3" s="19">
        <v>6</v>
      </c>
      <c r="M3" s="46">
        <v>43.29</v>
      </c>
      <c r="N3" s="42">
        <v>9.81</v>
      </c>
      <c r="O3" s="9">
        <v>33.479999999999997</v>
      </c>
      <c r="P3" s="9">
        <v>3</v>
      </c>
      <c r="Q3" s="19">
        <v>6</v>
      </c>
      <c r="R3" s="46">
        <v>26.9</v>
      </c>
      <c r="S3" s="42">
        <v>9.59</v>
      </c>
      <c r="T3" s="9">
        <v>17.309999999999999</v>
      </c>
      <c r="U3" s="9">
        <v>1</v>
      </c>
      <c r="V3" s="19">
        <v>4</v>
      </c>
      <c r="W3" s="46">
        <v>26.55</v>
      </c>
      <c r="X3" s="42">
        <v>11.27</v>
      </c>
      <c r="Y3" s="9">
        <v>15.280000000000001</v>
      </c>
      <c r="Z3" s="9">
        <v>1</v>
      </c>
      <c r="AA3" s="19">
        <v>5</v>
      </c>
      <c r="AB3" s="1"/>
      <c r="BA3" s="1"/>
      <c r="BC3" s="1"/>
      <c r="BZ3" s="1"/>
      <c r="CY3" s="1"/>
      <c r="DA3" s="1"/>
      <c r="DX3" s="1"/>
      <c r="EW3" s="1" t="s">
        <v>0</v>
      </c>
    </row>
    <row r="4" spans="1:153" ht="16.5" customHeight="1" thickBot="1" x14ac:dyDescent="0.3">
      <c r="A4" s="24"/>
      <c r="B4" s="25">
        <v>2</v>
      </c>
      <c r="C4" s="37">
        <v>13.17</v>
      </c>
      <c r="D4" s="43">
        <v>2.77</v>
      </c>
      <c r="E4" s="26">
        <v>10.4</v>
      </c>
      <c r="F4" s="26">
        <v>5</v>
      </c>
      <c r="G4" s="27">
        <v>8</v>
      </c>
      <c r="H4" s="37">
        <v>11.65</v>
      </c>
      <c r="I4" s="43">
        <v>5.99</v>
      </c>
      <c r="J4" s="26">
        <v>5.66</v>
      </c>
      <c r="K4" s="26">
        <v>3</v>
      </c>
      <c r="L4" s="27">
        <v>6</v>
      </c>
      <c r="M4" s="37">
        <v>28.45</v>
      </c>
      <c r="N4" s="43">
        <v>11.08</v>
      </c>
      <c r="O4" s="26">
        <v>17.369999999999997</v>
      </c>
      <c r="P4" s="26">
        <v>1</v>
      </c>
      <c r="Q4" s="27">
        <v>7</v>
      </c>
      <c r="R4" s="37">
        <v>17.89</v>
      </c>
      <c r="S4" s="43">
        <v>3.72</v>
      </c>
      <c r="T4" s="26">
        <v>14.17</v>
      </c>
      <c r="U4" s="26">
        <v>1</v>
      </c>
      <c r="V4" s="27">
        <v>7</v>
      </c>
      <c r="W4" s="37">
        <v>20.72</v>
      </c>
      <c r="X4" s="43">
        <v>7.05</v>
      </c>
      <c r="Y4" s="26">
        <v>13.669999999999998</v>
      </c>
      <c r="Z4" s="26">
        <v>2</v>
      </c>
      <c r="AA4" s="27">
        <v>5</v>
      </c>
      <c r="AB4" s="1"/>
    </row>
    <row r="5" spans="1:153" ht="16.5" customHeight="1" x14ac:dyDescent="0.25">
      <c r="A5" s="4">
        <v>2</v>
      </c>
      <c r="B5" s="22">
        <v>1</v>
      </c>
      <c r="C5" s="38">
        <v>22.38</v>
      </c>
      <c r="D5" s="44">
        <v>2.77</v>
      </c>
      <c r="E5" s="23">
        <v>19.61</v>
      </c>
      <c r="F5" s="11">
        <v>1</v>
      </c>
      <c r="G5" s="16">
        <v>7</v>
      </c>
      <c r="H5" s="47">
        <v>27.69</v>
      </c>
      <c r="I5" s="44">
        <v>5.94</v>
      </c>
      <c r="J5" s="11">
        <v>21.75</v>
      </c>
      <c r="K5" s="11">
        <v>3</v>
      </c>
      <c r="L5" s="16">
        <v>7</v>
      </c>
      <c r="M5" s="47">
        <v>25.24</v>
      </c>
      <c r="N5" s="44">
        <v>11.04</v>
      </c>
      <c r="O5" s="11">
        <v>14.2</v>
      </c>
      <c r="P5" s="11">
        <v>5</v>
      </c>
      <c r="Q5" s="16">
        <v>10</v>
      </c>
      <c r="R5" s="47">
        <v>21.46</v>
      </c>
      <c r="S5" s="44">
        <v>5.3</v>
      </c>
      <c r="T5" s="11">
        <v>16.16</v>
      </c>
      <c r="U5" s="11">
        <v>2</v>
      </c>
      <c r="V5" s="16">
        <v>5</v>
      </c>
      <c r="W5" s="47">
        <v>33.1</v>
      </c>
      <c r="X5" s="44">
        <v>13.39</v>
      </c>
      <c r="Y5" s="11">
        <v>19.71</v>
      </c>
      <c r="Z5" s="11">
        <v>1</v>
      </c>
      <c r="AA5" s="16">
        <v>6</v>
      </c>
      <c r="AB5" s="1"/>
    </row>
    <row r="6" spans="1:153" ht="15.75" thickBot="1" x14ac:dyDescent="0.3">
      <c r="A6" s="24"/>
      <c r="B6" s="25">
        <v>2</v>
      </c>
      <c r="C6" s="39">
        <v>12.06</v>
      </c>
      <c r="D6" s="45">
        <v>2.77</v>
      </c>
      <c r="E6" s="29">
        <v>9.2900000000000009</v>
      </c>
      <c r="F6" s="28">
        <v>3</v>
      </c>
      <c r="G6" s="30">
        <v>8</v>
      </c>
      <c r="H6" s="48">
        <v>28.32</v>
      </c>
      <c r="I6" s="45">
        <v>5.98</v>
      </c>
      <c r="J6" s="28">
        <v>22.34</v>
      </c>
      <c r="K6" s="28">
        <v>11</v>
      </c>
      <c r="L6" s="30">
        <v>15</v>
      </c>
      <c r="M6" s="48">
        <v>21.52</v>
      </c>
      <c r="N6" s="45">
        <v>11.04</v>
      </c>
      <c r="O6" s="28">
        <v>10.48</v>
      </c>
      <c r="P6" s="28">
        <v>3</v>
      </c>
      <c r="Q6" s="30">
        <v>6</v>
      </c>
      <c r="R6" s="48">
        <v>22.55</v>
      </c>
      <c r="S6" s="45">
        <v>3.73</v>
      </c>
      <c r="T6" s="28">
        <v>18.82</v>
      </c>
      <c r="U6" s="28">
        <v>1</v>
      </c>
      <c r="V6" s="30">
        <v>5</v>
      </c>
      <c r="W6" s="48">
        <v>33.340000000000003</v>
      </c>
      <c r="X6" s="45">
        <v>7.04</v>
      </c>
      <c r="Y6" s="28">
        <v>26.300000000000004</v>
      </c>
      <c r="Z6" s="28">
        <v>6</v>
      </c>
      <c r="AA6" s="30">
        <v>9</v>
      </c>
      <c r="AB6" s="1"/>
    </row>
    <row r="7" spans="1:153" ht="13.5" customHeight="1" x14ac:dyDescent="0.25">
      <c r="A7" s="4">
        <v>3</v>
      </c>
      <c r="B7" s="22">
        <v>1</v>
      </c>
      <c r="C7" s="36">
        <v>26.18</v>
      </c>
      <c r="D7" s="42">
        <v>2.78</v>
      </c>
      <c r="E7" s="9">
        <v>23.4</v>
      </c>
      <c r="F7" s="9">
        <v>3</v>
      </c>
      <c r="G7" s="19">
        <v>8</v>
      </c>
      <c r="H7" s="46">
        <v>32.51</v>
      </c>
      <c r="I7" s="42">
        <v>10.24</v>
      </c>
      <c r="J7" s="9">
        <v>22.269999999999996</v>
      </c>
      <c r="K7" s="9">
        <v>9</v>
      </c>
      <c r="L7" s="19">
        <v>12</v>
      </c>
      <c r="M7" s="46">
        <v>36.299999999999997</v>
      </c>
      <c r="N7" s="42">
        <v>9.82</v>
      </c>
      <c r="O7" s="9">
        <v>26.479999999999997</v>
      </c>
      <c r="P7" s="9">
        <v>1</v>
      </c>
      <c r="Q7" s="19">
        <v>4</v>
      </c>
      <c r="R7" s="46">
        <v>27.11</v>
      </c>
      <c r="S7" s="42">
        <v>9.69</v>
      </c>
      <c r="T7" s="9">
        <v>17.420000000000002</v>
      </c>
      <c r="U7" s="9">
        <v>7</v>
      </c>
      <c r="V7" s="19">
        <v>10</v>
      </c>
      <c r="W7" s="46">
        <v>30.91</v>
      </c>
      <c r="X7" s="42">
        <v>15.72</v>
      </c>
      <c r="Y7" s="9">
        <v>15.19</v>
      </c>
      <c r="Z7" s="9">
        <v>6</v>
      </c>
      <c r="AA7" s="19">
        <v>9</v>
      </c>
      <c r="AB7" s="1"/>
    </row>
    <row r="8" spans="1:153" ht="16.5" customHeight="1" thickBot="1" x14ac:dyDescent="0.3">
      <c r="A8" s="24"/>
      <c r="B8" s="25">
        <v>2</v>
      </c>
      <c r="C8" s="40">
        <v>15.02</v>
      </c>
      <c r="D8" s="43">
        <v>2.8</v>
      </c>
      <c r="E8" s="26">
        <v>12.219999999999999</v>
      </c>
      <c r="F8" s="26">
        <v>1</v>
      </c>
      <c r="G8" s="27">
        <v>4</v>
      </c>
      <c r="H8" s="37">
        <v>19.43</v>
      </c>
      <c r="I8" s="43">
        <v>5.98</v>
      </c>
      <c r="J8" s="26">
        <v>13.45</v>
      </c>
      <c r="K8" s="26">
        <v>3</v>
      </c>
      <c r="L8" s="27">
        <v>6</v>
      </c>
      <c r="M8" s="37">
        <v>27.03</v>
      </c>
      <c r="N8" s="43">
        <v>10.98</v>
      </c>
      <c r="O8" s="26">
        <v>16.05</v>
      </c>
      <c r="P8" s="26">
        <v>5</v>
      </c>
      <c r="Q8" s="27">
        <v>12</v>
      </c>
      <c r="R8" s="37">
        <v>15.95</v>
      </c>
      <c r="S8" s="43">
        <v>3.79</v>
      </c>
      <c r="T8" s="26">
        <v>12.16</v>
      </c>
      <c r="U8" s="26">
        <v>2</v>
      </c>
      <c r="V8" s="27">
        <v>8</v>
      </c>
      <c r="W8" s="37">
        <v>24.47</v>
      </c>
      <c r="X8" s="43">
        <v>7.01</v>
      </c>
      <c r="Y8" s="26">
        <v>17.46</v>
      </c>
      <c r="Z8" s="26">
        <v>2</v>
      </c>
      <c r="AA8" s="27">
        <v>10</v>
      </c>
      <c r="AB8" s="1"/>
    </row>
    <row r="9" spans="1:153" x14ac:dyDescent="0.25">
      <c r="A9" s="4">
        <v>4</v>
      </c>
      <c r="B9" s="22">
        <v>1</v>
      </c>
      <c r="C9" s="38">
        <v>14.79</v>
      </c>
      <c r="D9" s="44">
        <v>2.77</v>
      </c>
      <c r="E9" s="11">
        <v>12.02</v>
      </c>
      <c r="F9" s="11">
        <v>1</v>
      </c>
      <c r="G9" s="16">
        <v>5</v>
      </c>
      <c r="H9" s="47">
        <v>20.54</v>
      </c>
      <c r="I9" s="44">
        <v>10.3</v>
      </c>
      <c r="J9" s="11">
        <v>10.239999999999998</v>
      </c>
      <c r="K9" s="11">
        <v>7</v>
      </c>
      <c r="L9" s="16">
        <v>11</v>
      </c>
      <c r="M9" s="47">
        <v>57.97</v>
      </c>
      <c r="N9" s="44">
        <v>9.82</v>
      </c>
      <c r="O9" s="11">
        <v>48.15</v>
      </c>
      <c r="P9" s="11">
        <v>1</v>
      </c>
      <c r="Q9" s="16">
        <v>5</v>
      </c>
      <c r="R9" s="47">
        <v>26.21</v>
      </c>
      <c r="S9" s="44">
        <v>3.75</v>
      </c>
      <c r="T9" s="11">
        <v>22.46</v>
      </c>
      <c r="U9" s="11">
        <v>4</v>
      </c>
      <c r="V9" s="16">
        <v>8</v>
      </c>
      <c r="W9" s="47">
        <v>35.880000000000003</v>
      </c>
      <c r="X9" s="44">
        <v>11.32</v>
      </c>
      <c r="Y9" s="11">
        <v>24.560000000000002</v>
      </c>
      <c r="Z9" s="11">
        <v>5</v>
      </c>
      <c r="AA9" s="16">
        <v>16</v>
      </c>
    </row>
    <row r="10" spans="1:153" ht="15.75" thickBot="1" x14ac:dyDescent="0.3">
      <c r="A10" s="24"/>
      <c r="B10" s="25">
        <v>2</v>
      </c>
      <c r="C10" s="39">
        <v>15.71</v>
      </c>
      <c r="D10" s="45">
        <v>2.8</v>
      </c>
      <c r="E10" s="28">
        <v>12.91</v>
      </c>
      <c r="F10" s="28">
        <v>2</v>
      </c>
      <c r="G10" s="30">
        <v>6</v>
      </c>
      <c r="H10" s="48">
        <v>24.6</v>
      </c>
      <c r="I10" s="45">
        <v>6.01</v>
      </c>
      <c r="J10" s="28">
        <v>18.590000000000003</v>
      </c>
      <c r="K10" s="28">
        <v>5</v>
      </c>
      <c r="L10" s="30">
        <v>8</v>
      </c>
      <c r="M10" s="48">
        <v>32.020000000000003</v>
      </c>
      <c r="N10" s="45">
        <v>11.1</v>
      </c>
      <c r="O10" s="28">
        <v>20.92</v>
      </c>
      <c r="P10" s="28">
        <v>3</v>
      </c>
      <c r="Q10" s="30">
        <v>7</v>
      </c>
      <c r="R10" s="48">
        <v>19.399999999999999</v>
      </c>
      <c r="S10" s="45">
        <v>3.83</v>
      </c>
      <c r="T10" s="28">
        <v>15.569999999999999</v>
      </c>
      <c r="U10" s="28">
        <v>1</v>
      </c>
      <c r="V10" s="30">
        <v>4</v>
      </c>
      <c r="W10" s="48">
        <v>21.78</v>
      </c>
      <c r="X10" s="45">
        <v>7.03</v>
      </c>
      <c r="Y10" s="28">
        <v>14.75</v>
      </c>
      <c r="Z10" s="28">
        <v>6</v>
      </c>
      <c r="AA10" s="30">
        <v>11</v>
      </c>
      <c r="AB10" s="1"/>
    </row>
    <row r="11" spans="1:153" ht="14.25" customHeight="1" x14ac:dyDescent="0.25">
      <c r="A11" s="4">
        <v>5</v>
      </c>
      <c r="B11" s="22">
        <v>1</v>
      </c>
      <c r="C11" s="36">
        <v>24.81</v>
      </c>
      <c r="D11" s="42">
        <v>2.79</v>
      </c>
      <c r="E11" s="9">
        <v>22.02</v>
      </c>
      <c r="F11" s="9">
        <v>3</v>
      </c>
      <c r="G11" s="19">
        <v>7</v>
      </c>
      <c r="H11" s="46">
        <v>27.38</v>
      </c>
      <c r="I11" s="42">
        <v>5.98</v>
      </c>
      <c r="J11" s="9">
        <v>21.4</v>
      </c>
      <c r="K11" s="9">
        <v>11</v>
      </c>
      <c r="L11" s="19">
        <v>14</v>
      </c>
      <c r="M11" s="46">
        <v>27.1</v>
      </c>
      <c r="N11" s="42">
        <v>11.01</v>
      </c>
      <c r="O11" s="9">
        <v>16.090000000000003</v>
      </c>
      <c r="P11" s="9">
        <v>6</v>
      </c>
      <c r="Q11" s="19">
        <v>10</v>
      </c>
      <c r="R11" s="46">
        <v>25.43</v>
      </c>
      <c r="S11" s="42">
        <v>5.33</v>
      </c>
      <c r="T11" s="9">
        <v>20.100000000000001</v>
      </c>
      <c r="U11" s="9">
        <v>6</v>
      </c>
      <c r="V11" s="19">
        <v>9</v>
      </c>
      <c r="W11" s="46">
        <v>26.85</v>
      </c>
      <c r="X11" s="42">
        <v>13.36</v>
      </c>
      <c r="Y11" s="9">
        <v>13.490000000000002</v>
      </c>
      <c r="Z11" s="9">
        <v>6</v>
      </c>
      <c r="AA11" s="19">
        <v>10</v>
      </c>
      <c r="AB11" s="1"/>
    </row>
    <row r="12" spans="1:153" ht="15.75" thickBot="1" x14ac:dyDescent="0.3">
      <c r="A12" s="24"/>
      <c r="B12" s="25">
        <v>2</v>
      </c>
      <c r="C12" s="36">
        <v>18.16</v>
      </c>
      <c r="D12" s="42">
        <v>2.75</v>
      </c>
      <c r="E12" s="10">
        <v>15.41</v>
      </c>
      <c r="F12" s="9">
        <v>5</v>
      </c>
      <c r="G12" s="19">
        <v>8</v>
      </c>
      <c r="H12" s="46">
        <v>21.68</v>
      </c>
      <c r="I12" s="42">
        <v>5.95</v>
      </c>
      <c r="J12" s="9">
        <v>15.73</v>
      </c>
      <c r="K12" s="9">
        <v>5</v>
      </c>
      <c r="L12" s="19">
        <v>9</v>
      </c>
      <c r="M12" s="46">
        <v>24.03</v>
      </c>
      <c r="N12" s="42">
        <v>11.01</v>
      </c>
      <c r="O12" s="9">
        <v>13.020000000000001</v>
      </c>
      <c r="P12" s="9">
        <v>1</v>
      </c>
      <c r="Q12" s="19">
        <v>4</v>
      </c>
      <c r="R12" s="46">
        <v>19.559999999999999</v>
      </c>
      <c r="S12" s="42">
        <v>3.73</v>
      </c>
      <c r="T12" s="9">
        <v>15.829999999999998</v>
      </c>
      <c r="U12" s="9">
        <v>3</v>
      </c>
      <c r="V12" s="19">
        <v>6</v>
      </c>
      <c r="W12" s="46">
        <v>26.38</v>
      </c>
      <c r="X12" s="42">
        <v>7.02</v>
      </c>
      <c r="Y12" s="9">
        <v>19.36</v>
      </c>
      <c r="Z12" s="9">
        <v>6</v>
      </c>
      <c r="AA12" s="19">
        <v>10</v>
      </c>
    </row>
    <row r="13" spans="1:153" x14ac:dyDescent="0.25">
      <c r="A13" s="4">
        <v>6</v>
      </c>
      <c r="B13" s="22">
        <v>1</v>
      </c>
      <c r="C13" s="38">
        <v>26.41</v>
      </c>
      <c r="D13" s="44">
        <v>2.78</v>
      </c>
      <c r="E13" s="11">
        <v>23.63</v>
      </c>
      <c r="F13" s="11">
        <v>5</v>
      </c>
      <c r="G13" s="16">
        <v>11</v>
      </c>
      <c r="H13" s="47">
        <v>94.15</v>
      </c>
      <c r="I13" s="44">
        <v>10.37</v>
      </c>
      <c r="J13" s="11">
        <v>83.78</v>
      </c>
      <c r="K13" s="11">
        <v>6</v>
      </c>
      <c r="L13" s="16">
        <v>12</v>
      </c>
      <c r="M13" s="47">
        <v>28.9</v>
      </c>
      <c r="N13" s="44">
        <v>19</v>
      </c>
      <c r="O13" s="11">
        <v>9.8999999999999986</v>
      </c>
      <c r="P13" s="11">
        <v>12</v>
      </c>
      <c r="Q13" s="16">
        <v>19</v>
      </c>
      <c r="R13" s="47">
        <v>31.02</v>
      </c>
      <c r="S13" s="44">
        <v>8.0399999999999991</v>
      </c>
      <c r="T13" s="11">
        <v>22.98</v>
      </c>
      <c r="U13" s="11">
        <v>7</v>
      </c>
      <c r="V13" s="16">
        <v>10</v>
      </c>
      <c r="W13" s="47">
        <v>33.770000000000003</v>
      </c>
      <c r="X13" s="44">
        <v>18.48</v>
      </c>
      <c r="Y13" s="11">
        <v>15.290000000000003</v>
      </c>
      <c r="Z13" s="11">
        <v>6</v>
      </c>
      <c r="AA13" s="16">
        <v>9</v>
      </c>
    </row>
    <row r="14" spans="1:153" ht="15.75" thickBot="1" x14ac:dyDescent="0.3">
      <c r="A14" s="24"/>
      <c r="B14" s="25">
        <v>2</v>
      </c>
      <c r="C14" s="39">
        <v>12.99</v>
      </c>
      <c r="D14" s="44">
        <v>2.78</v>
      </c>
      <c r="E14" s="28">
        <v>12.99</v>
      </c>
      <c r="F14" s="28">
        <v>3</v>
      </c>
      <c r="G14" s="30">
        <v>7</v>
      </c>
      <c r="H14" s="48">
        <v>24.33</v>
      </c>
      <c r="I14" s="45">
        <v>5.97</v>
      </c>
      <c r="J14" s="28">
        <v>18.36</v>
      </c>
      <c r="K14" s="28">
        <v>5</v>
      </c>
      <c r="L14" s="30">
        <v>8</v>
      </c>
      <c r="M14" s="48">
        <v>32.159999999999997</v>
      </c>
      <c r="N14" s="45">
        <v>11.07</v>
      </c>
      <c r="O14" s="28">
        <v>21.089999999999996</v>
      </c>
      <c r="P14" s="28">
        <v>1</v>
      </c>
      <c r="Q14" s="30">
        <v>4</v>
      </c>
      <c r="R14" s="48">
        <v>20.77</v>
      </c>
      <c r="S14" s="45">
        <v>7.99</v>
      </c>
      <c r="T14" s="28">
        <v>12.78</v>
      </c>
      <c r="U14" s="28">
        <v>5</v>
      </c>
      <c r="V14" s="30">
        <v>9</v>
      </c>
      <c r="W14" s="48">
        <v>22.09</v>
      </c>
      <c r="X14" s="45">
        <v>7.02</v>
      </c>
      <c r="Y14" s="28">
        <v>15.07</v>
      </c>
      <c r="Z14" s="28">
        <v>4</v>
      </c>
      <c r="AA14" s="30">
        <v>8</v>
      </c>
    </row>
    <row r="15" spans="1:153" x14ac:dyDescent="0.25">
      <c r="A15" s="4">
        <v>7</v>
      </c>
      <c r="B15" s="22">
        <v>1</v>
      </c>
      <c r="C15" s="36">
        <v>22.83</v>
      </c>
      <c r="D15" s="42">
        <v>2.78</v>
      </c>
      <c r="E15" s="9">
        <v>20.049999999999997</v>
      </c>
      <c r="F15" s="9">
        <v>3</v>
      </c>
      <c r="G15" s="19">
        <v>10</v>
      </c>
      <c r="H15" s="46">
        <v>29.98</v>
      </c>
      <c r="I15" s="42">
        <v>5.94</v>
      </c>
      <c r="J15" s="9">
        <v>24.04</v>
      </c>
      <c r="K15" s="9">
        <v>6</v>
      </c>
      <c r="L15" s="19">
        <v>13</v>
      </c>
      <c r="M15" s="46">
        <v>32.549999999999997</v>
      </c>
      <c r="N15" s="42">
        <v>11.05</v>
      </c>
      <c r="O15" s="9">
        <v>21.499999999999996</v>
      </c>
      <c r="P15" s="9">
        <v>4</v>
      </c>
      <c r="Q15" s="19">
        <v>13</v>
      </c>
      <c r="R15" s="46">
        <v>31.49</v>
      </c>
      <c r="S15" s="42">
        <v>3.75</v>
      </c>
      <c r="T15" s="9">
        <v>27.74</v>
      </c>
      <c r="U15" s="9">
        <v>2</v>
      </c>
      <c r="V15" s="19">
        <v>8</v>
      </c>
      <c r="W15" s="46">
        <v>34.75</v>
      </c>
      <c r="X15" s="42">
        <v>11.3</v>
      </c>
      <c r="Y15" s="9">
        <v>23.45</v>
      </c>
      <c r="Z15" s="9">
        <v>5</v>
      </c>
      <c r="AA15" s="19">
        <v>10</v>
      </c>
    </row>
    <row r="16" spans="1:153" ht="15.75" thickBot="1" x14ac:dyDescent="0.3">
      <c r="A16" s="24"/>
      <c r="B16" s="25">
        <v>2</v>
      </c>
      <c r="C16" s="36">
        <v>18.84</v>
      </c>
      <c r="D16" s="42">
        <v>2.76</v>
      </c>
      <c r="E16" s="10">
        <v>16.079999999999998</v>
      </c>
      <c r="F16" s="9">
        <v>3</v>
      </c>
      <c r="G16" s="19">
        <v>8</v>
      </c>
      <c r="H16" s="46">
        <v>22.44</v>
      </c>
      <c r="I16" s="42">
        <v>5.99</v>
      </c>
      <c r="J16" s="9">
        <v>16.450000000000003</v>
      </c>
      <c r="K16" s="9">
        <v>3</v>
      </c>
      <c r="L16" s="19">
        <v>7</v>
      </c>
      <c r="M16" s="46">
        <v>27.37</v>
      </c>
      <c r="N16" s="42">
        <v>11.01</v>
      </c>
      <c r="O16" s="9">
        <v>16.36</v>
      </c>
      <c r="P16" s="9">
        <v>3</v>
      </c>
      <c r="Q16" s="19">
        <v>6</v>
      </c>
      <c r="R16" s="46">
        <v>18.68</v>
      </c>
      <c r="S16" s="42">
        <v>3.76</v>
      </c>
      <c r="T16" s="9">
        <v>14.92</v>
      </c>
      <c r="U16" s="9">
        <v>1</v>
      </c>
      <c r="V16" s="19">
        <v>4</v>
      </c>
      <c r="W16" s="46">
        <v>36.799999999999997</v>
      </c>
      <c r="X16" s="42">
        <v>7.02</v>
      </c>
      <c r="Y16" s="9">
        <v>29.779999999999998</v>
      </c>
      <c r="Z16" s="9">
        <v>2</v>
      </c>
      <c r="AA16" s="19">
        <v>5</v>
      </c>
    </row>
    <row r="17" spans="1:27" x14ac:dyDescent="0.25">
      <c r="A17" s="4">
        <v>8</v>
      </c>
      <c r="B17" s="22">
        <v>1</v>
      </c>
      <c r="C17" s="38">
        <v>27.39</v>
      </c>
      <c r="D17" s="44">
        <v>2.76</v>
      </c>
      <c r="E17" s="11">
        <v>24.630000000000003</v>
      </c>
      <c r="F17" s="11">
        <v>1</v>
      </c>
      <c r="G17" s="16">
        <v>12</v>
      </c>
      <c r="H17" s="47">
        <v>26.64</v>
      </c>
      <c r="I17" s="44">
        <v>10.199999999999999</v>
      </c>
      <c r="J17" s="11">
        <v>16.440000000000001</v>
      </c>
      <c r="K17" s="11">
        <v>5</v>
      </c>
      <c r="L17" s="16">
        <v>8</v>
      </c>
      <c r="M17" s="47">
        <v>28.41</v>
      </c>
      <c r="N17" s="44">
        <v>10.99</v>
      </c>
      <c r="O17" s="11">
        <v>17.420000000000002</v>
      </c>
      <c r="P17" s="11">
        <v>3</v>
      </c>
      <c r="Q17" s="16">
        <v>6</v>
      </c>
      <c r="R17" s="47">
        <v>23.28</v>
      </c>
      <c r="S17" s="44">
        <v>3.71</v>
      </c>
      <c r="T17" s="11">
        <v>19.57</v>
      </c>
      <c r="U17" s="11">
        <v>1</v>
      </c>
      <c r="V17" s="16">
        <v>5</v>
      </c>
      <c r="W17" s="47">
        <v>29.66</v>
      </c>
      <c r="X17" s="44">
        <v>13.33</v>
      </c>
      <c r="Y17" s="11">
        <v>16.329999999999998</v>
      </c>
      <c r="Z17" s="11">
        <v>1</v>
      </c>
      <c r="AA17" s="16">
        <v>5</v>
      </c>
    </row>
    <row r="18" spans="1:27" ht="15.75" thickBot="1" x14ac:dyDescent="0.3">
      <c r="A18" s="24"/>
      <c r="B18" s="25">
        <v>2</v>
      </c>
      <c r="C18" s="39">
        <v>9.6</v>
      </c>
      <c r="D18" s="45">
        <v>2.75</v>
      </c>
      <c r="E18" s="28">
        <v>6.85</v>
      </c>
      <c r="F18" s="28">
        <v>3</v>
      </c>
      <c r="G18" s="30">
        <v>7</v>
      </c>
      <c r="H18" s="48">
        <v>14.44</v>
      </c>
      <c r="I18" s="45">
        <v>5.97</v>
      </c>
      <c r="J18" s="28">
        <v>8.4699999999999989</v>
      </c>
      <c r="K18" s="28">
        <v>3</v>
      </c>
      <c r="L18" s="30">
        <v>6</v>
      </c>
      <c r="M18" s="48">
        <v>29.84</v>
      </c>
      <c r="N18" s="45">
        <v>11.01</v>
      </c>
      <c r="O18" s="28">
        <v>18.829999999999998</v>
      </c>
      <c r="P18" s="28">
        <v>1</v>
      </c>
      <c r="Q18" s="30">
        <v>5</v>
      </c>
      <c r="R18" s="48">
        <v>18.38</v>
      </c>
      <c r="S18" s="45">
        <v>3.73</v>
      </c>
      <c r="T18" s="28">
        <v>14.649999999999999</v>
      </c>
      <c r="U18" s="28">
        <v>1</v>
      </c>
      <c r="V18" s="30">
        <v>4</v>
      </c>
      <c r="W18" s="48">
        <v>20.11</v>
      </c>
      <c r="X18" s="45">
        <v>7.04</v>
      </c>
      <c r="Y18" s="28">
        <v>13.07</v>
      </c>
      <c r="Z18" s="28">
        <v>2</v>
      </c>
      <c r="AA18" s="30">
        <v>5</v>
      </c>
    </row>
    <row r="19" spans="1:27" x14ac:dyDescent="0.25">
      <c r="A19" s="4">
        <v>9</v>
      </c>
      <c r="B19" s="22">
        <v>1</v>
      </c>
      <c r="C19" s="36">
        <v>21.39</v>
      </c>
      <c r="D19" s="42">
        <v>2.81</v>
      </c>
      <c r="E19" s="9">
        <v>18.580000000000002</v>
      </c>
      <c r="F19" s="9">
        <v>5</v>
      </c>
      <c r="G19" s="19">
        <v>9</v>
      </c>
      <c r="H19" s="46">
        <v>26.26</v>
      </c>
      <c r="I19" s="42">
        <v>10.23</v>
      </c>
      <c r="J19" s="9">
        <v>16.03</v>
      </c>
      <c r="K19" s="9">
        <v>3</v>
      </c>
      <c r="L19" s="19">
        <v>6</v>
      </c>
      <c r="M19" s="46">
        <v>49.44</v>
      </c>
      <c r="N19" s="42">
        <v>9.99</v>
      </c>
      <c r="O19" s="9">
        <v>39.449999999999996</v>
      </c>
      <c r="P19" s="9">
        <v>3</v>
      </c>
      <c r="Q19" s="19">
        <v>6</v>
      </c>
      <c r="R19" s="46">
        <v>22.29</v>
      </c>
      <c r="S19" s="42">
        <v>9.9</v>
      </c>
      <c r="T19" s="9">
        <v>12.389999999999999</v>
      </c>
      <c r="U19" s="9">
        <v>1</v>
      </c>
      <c r="V19" s="19">
        <v>5</v>
      </c>
      <c r="W19" s="46">
        <v>24.16</v>
      </c>
      <c r="X19" s="42">
        <v>9.23</v>
      </c>
      <c r="Y19" s="9">
        <v>14.93</v>
      </c>
      <c r="Z19" s="9">
        <v>2</v>
      </c>
      <c r="AA19" s="19">
        <v>8</v>
      </c>
    </row>
    <row r="20" spans="1:27" ht="15.75" thickBot="1" x14ac:dyDescent="0.3">
      <c r="A20" s="24"/>
      <c r="B20" s="25">
        <v>2</v>
      </c>
      <c r="C20" s="36">
        <v>17.72</v>
      </c>
      <c r="D20" s="42">
        <v>2.76</v>
      </c>
      <c r="E20" s="10">
        <v>14.959999999999999</v>
      </c>
      <c r="F20" s="9">
        <v>1</v>
      </c>
      <c r="G20" s="19">
        <v>4</v>
      </c>
      <c r="H20" s="46">
        <v>24.62</v>
      </c>
      <c r="I20" s="42">
        <v>5.95</v>
      </c>
      <c r="J20" s="9">
        <v>18.670000000000002</v>
      </c>
      <c r="K20" s="9">
        <v>3</v>
      </c>
      <c r="L20" s="19">
        <v>6</v>
      </c>
      <c r="M20" s="46">
        <v>30.42</v>
      </c>
      <c r="N20" s="42">
        <v>11.03</v>
      </c>
      <c r="O20" s="9">
        <v>19.39</v>
      </c>
      <c r="P20" s="9">
        <v>1</v>
      </c>
      <c r="Q20" s="19">
        <v>5</v>
      </c>
      <c r="R20" s="46">
        <v>16.190000000000001</v>
      </c>
      <c r="S20" s="42">
        <v>5.32</v>
      </c>
      <c r="T20" s="9">
        <v>10.870000000000001</v>
      </c>
      <c r="U20" s="9">
        <v>2</v>
      </c>
      <c r="V20" s="19">
        <v>5</v>
      </c>
      <c r="W20" s="46">
        <v>24.78</v>
      </c>
      <c r="X20" s="42">
        <v>7.03</v>
      </c>
      <c r="Y20" s="9">
        <v>17.75</v>
      </c>
      <c r="Z20" s="9">
        <v>2</v>
      </c>
      <c r="AA20" s="19">
        <v>5</v>
      </c>
    </row>
    <row r="21" spans="1:27" x14ac:dyDescent="0.25">
      <c r="A21" s="4">
        <v>10</v>
      </c>
      <c r="B21" s="22">
        <v>1</v>
      </c>
      <c r="C21" s="38">
        <v>26.21</v>
      </c>
      <c r="D21" s="44">
        <v>2.77</v>
      </c>
      <c r="E21" s="11">
        <v>23.44</v>
      </c>
      <c r="F21" s="11">
        <v>7</v>
      </c>
      <c r="G21" s="16">
        <v>12</v>
      </c>
      <c r="H21" s="47">
        <v>26.54</v>
      </c>
      <c r="I21" s="44">
        <v>14.55</v>
      </c>
      <c r="J21" s="11">
        <v>11.989999999999998</v>
      </c>
      <c r="K21" s="11">
        <v>5</v>
      </c>
      <c r="L21" s="16">
        <v>10</v>
      </c>
      <c r="M21" s="47">
        <v>34.33</v>
      </c>
      <c r="N21" s="44">
        <v>11.05</v>
      </c>
      <c r="O21" s="11">
        <v>23.279999999999998</v>
      </c>
      <c r="P21" s="11">
        <v>1</v>
      </c>
      <c r="Q21" s="16">
        <v>4</v>
      </c>
      <c r="R21" s="47">
        <v>18.739999999999998</v>
      </c>
      <c r="S21" s="44">
        <v>5.29</v>
      </c>
      <c r="T21" s="11">
        <v>13.45</v>
      </c>
      <c r="U21" s="11">
        <v>2</v>
      </c>
      <c r="V21" s="16">
        <v>5</v>
      </c>
      <c r="W21" s="47">
        <v>34.450000000000003</v>
      </c>
      <c r="X21" s="44">
        <v>15.65</v>
      </c>
      <c r="Y21" s="11">
        <v>18.800000000000004</v>
      </c>
      <c r="Z21" s="11">
        <v>2</v>
      </c>
      <c r="AA21" s="16">
        <v>5</v>
      </c>
    </row>
    <row r="22" spans="1:27" ht="15.75" thickBot="1" x14ac:dyDescent="0.3">
      <c r="A22" s="24"/>
      <c r="B22" s="25">
        <v>1.9523809523809501</v>
      </c>
      <c r="C22" s="39">
        <v>16.559999999999999</v>
      </c>
      <c r="D22" s="45">
        <v>2.78</v>
      </c>
      <c r="E22" s="28">
        <v>13.78</v>
      </c>
      <c r="F22" s="28">
        <v>1</v>
      </c>
      <c r="G22" s="30">
        <v>6</v>
      </c>
      <c r="H22" s="48">
        <v>17.16</v>
      </c>
      <c r="I22" s="45">
        <v>5.97</v>
      </c>
      <c r="J22" s="28">
        <v>11.190000000000001</v>
      </c>
      <c r="K22" s="28">
        <v>3</v>
      </c>
      <c r="L22" s="30">
        <v>7</v>
      </c>
      <c r="M22" s="48">
        <v>24.21</v>
      </c>
      <c r="N22" s="45">
        <v>11.07</v>
      </c>
      <c r="O22" s="28">
        <v>13.14</v>
      </c>
      <c r="P22" s="28">
        <v>1</v>
      </c>
      <c r="Q22" s="30">
        <v>4</v>
      </c>
      <c r="R22" s="48">
        <v>12.76</v>
      </c>
      <c r="S22" s="45">
        <v>3.73</v>
      </c>
      <c r="T22" s="28">
        <v>9.0299999999999994</v>
      </c>
      <c r="U22" s="28">
        <v>1</v>
      </c>
      <c r="V22" s="30">
        <v>4</v>
      </c>
      <c r="W22" s="48">
        <v>25.19</v>
      </c>
      <c r="X22" s="45">
        <v>7.03</v>
      </c>
      <c r="Y22" s="28">
        <v>18.16</v>
      </c>
      <c r="Z22" s="28">
        <v>2</v>
      </c>
      <c r="AA22" s="30">
        <v>9</v>
      </c>
    </row>
    <row r="23" spans="1:27" x14ac:dyDescent="0.25">
      <c r="A23" s="4">
        <v>11</v>
      </c>
      <c r="B23" s="22">
        <v>1</v>
      </c>
      <c r="C23" s="36">
        <v>22.42</v>
      </c>
      <c r="D23" s="42">
        <v>2.78</v>
      </c>
      <c r="E23" s="9">
        <v>19.64</v>
      </c>
      <c r="F23" s="9">
        <v>3</v>
      </c>
      <c r="G23" s="19">
        <v>10</v>
      </c>
      <c r="H23" s="46">
        <v>36</v>
      </c>
      <c r="I23" s="42">
        <v>12.25</v>
      </c>
      <c r="J23" s="9">
        <v>23.75</v>
      </c>
      <c r="K23" s="9">
        <v>3</v>
      </c>
      <c r="L23" s="19">
        <v>8</v>
      </c>
      <c r="M23" s="46">
        <v>24.14</v>
      </c>
      <c r="N23" s="42">
        <v>11.01</v>
      </c>
      <c r="O23" s="9">
        <v>13.13</v>
      </c>
      <c r="P23" s="9">
        <v>6</v>
      </c>
      <c r="Q23" s="19">
        <v>9</v>
      </c>
      <c r="R23" s="46">
        <v>26.08</v>
      </c>
      <c r="S23" s="42">
        <v>9.66</v>
      </c>
      <c r="T23" s="9">
        <v>16.419999999999998</v>
      </c>
      <c r="U23" s="9">
        <v>1</v>
      </c>
      <c r="V23" s="19">
        <v>6</v>
      </c>
      <c r="W23" s="46">
        <v>24.06</v>
      </c>
      <c r="X23" s="42">
        <v>7.08</v>
      </c>
      <c r="Y23" s="9">
        <v>16.979999999999997</v>
      </c>
      <c r="Z23" s="9">
        <v>6</v>
      </c>
      <c r="AA23" s="19">
        <v>9</v>
      </c>
    </row>
    <row r="24" spans="1:27" ht="15.75" thickBot="1" x14ac:dyDescent="0.3">
      <c r="A24" s="24"/>
      <c r="B24" s="25">
        <v>2.0476190476190501</v>
      </c>
      <c r="C24" s="36">
        <v>14.19</v>
      </c>
      <c r="D24" s="42">
        <v>2.78</v>
      </c>
      <c r="E24" s="10">
        <v>11.41</v>
      </c>
      <c r="F24" s="9">
        <v>1</v>
      </c>
      <c r="G24" s="19">
        <v>4</v>
      </c>
      <c r="H24" s="46">
        <v>23.23</v>
      </c>
      <c r="I24" s="42">
        <v>5.97</v>
      </c>
      <c r="J24" s="9">
        <v>17.260000000000002</v>
      </c>
      <c r="K24" s="9">
        <v>3</v>
      </c>
      <c r="L24" s="19">
        <v>6</v>
      </c>
      <c r="M24" s="46">
        <v>22.28</v>
      </c>
      <c r="N24" s="42">
        <v>11.09</v>
      </c>
      <c r="O24" s="9">
        <v>11.190000000000001</v>
      </c>
      <c r="P24" s="9">
        <v>1</v>
      </c>
      <c r="Q24" s="19">
        <v>4</v>
      </c>
      <c r="R24" s="46">
        <v>17.989999999999998</v>
      </c>
      <c r="S24" s="42">
        <v>3.7</v>
      </c>
      <c r="T24" s="9">
        <v>14.29</v>
      </c>
      <c r="U24" s="9">
        <v>1</v>
      </c>
      <c r="V24" s="19">
        <v>6</v>
      </c>
      <c r="W24" s="46">
        <v>28.81</v>
      </c>
      <c r="X24" s="42">
        <v>15.59</v>
      </c>
      <c r="Y24" s="9">
        <v>13.219999999999999</v>
      </c>
      <c r="Z24" s="9">
        <v>0</v>
      </c>
      <c r="AA24" s="19">
        <v>3</v>
      </c>
    </row>
    <row r="25" spans="1:27" x14ac:dyDescent="0.25">
      <c r="A25" s="4">
        <v>12</v>
      </c>
      <c r="B25" s="22">
        <v>1</v>
      </c>
      <c r="C25" s="38">
        <v>20.6</v>
      </c>
      <c r="D25" s="44">
        <v>2.76</v>
      </c>
      <c r="E25" s="11">
        <v>17.840000000000003</v>
      </c>
      <c r="F25" s="11">
        <v>3</v>
      </c>
      <c r="G25" s="16">
        <v>10</v>
      </c>
      <c r="H25" s="47">
        <v>26.39</v>
      </c>
      <c r="I25" s="44">
        <v>5.94</v>
      </c>
      <c r="J25" s="11">
        <v>20.45</v>
      </c>
      <c r="K25" s="11">
        <v>2</v>
      </c>
      <c r="L25" s="16">
        <v>8</v>
      </c>
      <c r="M25" s="47">
        <v>47.09</v>
      </c>
      <c r="N25" s="44">
        <v>9.81</v>
      </c>
      <c r="O25" s="11">
        <v>37.28</v>
      </c>
      <c r="P25" s="11">
        <v>1</v>
      </c>
      <c r="Q25" s="16">
        <v>4</v>
      </c>
      <c r="R25" s="47">
        <v>21.31</v>
      </c>
      <c r="S25" s="44">
        <v>3.74</v>
      </c>
      <c r="T25" s="11">
        <v>17.57</v>
      </c>
      <c r="U25" s="11">
        <v>3</v>
      </c>
      <c r="V25" s="16">
        <v>8</v>
      </c>
      <c r="W25" s="47">
        <v>30.25</v>
      </c>
      <c r="X25" s="44">
        <v>11.38</v>
      </c>
      <c r="Y25" s="11">
        <v>18.869999999999997</v>
      </c>
      <c r="Z25" s="11">
        <v>5</v>
      </c>
      <c r="AA25" s="16">
        <v>10</v>
      </c>
    </row>
    <row r="26" spans="1:27" ht="15.75" thickBot="1" x14ac:dyDescent="0.3">
      <c r="A26" s="24"/>
      <c r="B26" s="25">
        <v>2</v>
      </c>
      <c r="C26" s="39">
        <v>15.33</v>
      </c>
      <c r="D26" s="45">
        <v>2.77</v>
      </c>
      <c r="E26" s="28">
        <v>12.56</v>
      </c>
      <c r="F26" s="28">
        <v>1</v>
      </c>
      <c r="G26" s="30">
        <v>5</v>
      </c>
      <c r="H26" s="48">
        <v>19.510000000000002</v>
      </c>
      <c r="I26" s="45">
        <v>6.01</v>
      </c>
      <c r="J26" s="28">
        <v>13.500000000000002</v>
      </c>
      <c r="K26" s="28">
        <v>3</v>
      </c>
      <c r="L26" s="30">
        <v>8</v>
      </c>
      <c r="M26" s="48">
        <v>21.63</v>
      </c>
      <c r="N26" s="45">
        <v>11.1</v>
      </c>
      <c r="O26" s="28">
        <v>10.53</v>
      </c>
      <c r="P26" s="28">
        <v>1</v>
      </c>
      <c r="Q26" s="30">
        <v>4</v>
      </c>
      <c r="R26" s="48">
        <v>15.51</v>
      </c>
      <c r="S26" s="45">
        <v>3.73</v>
      </c>
      <c r="T26" s="28">
        <v>11.78</v>
      </c>
      <c r="U26" s="28">
        <v>1</v>
      </c>
      <c r="V26" s="30">
        <v>6</v>
      </c>
      <c r="W26" s="48">
        <v>23.5</v>
      </c>
      <c r="X26" s="45">
        <v>7.02</v>
      </c>
      <c r="Y26" s="28">
        <v>16.48</v>
      </c>
      <c r="Z26" s="28">
        <v>2</v>
      </c>
      <c r="AA26" s="30">
        <v>5</v>
      </c>
    </row>
    <row r="27" spans="1:27" x14ac:dyDescent="0.25">
      <c r="A27" s="4">
        <v>13</v>
      </c>
      <c r="B27" s="22">
        <v>1</v>
      </c>
      <c r="C27" s="36"/>
      <c r="D27" s="42"/>
      <c r="E27" s="9"/>
      <c r="F27" s="9"/>
      <c r="G27" s="19"/>
      <c r="H27" s="46"/>
      <c r="I27" s="42"/>
      <c r="J27" s="9"/>
      <c r="K27" s="9"/>
      <c r="L27" s="19"/>
      <c r="M27" s="46"/>
      <c r="N27" s="42"/>
      <c r="O27" s="9"/>
      <c r="P27" s="9"/>
      <c r="Q27" s="19"/>
      <c r="R27" s="46"/>
      <c r="S27" s="42"/>
      <c r="T27" s="9"/>
      <c r="U27" s="9"/>
      <c r="V27" s="19"/>
      <c r="W27" s="46"/>
      <c r="X27" s="42"/>
      <c r="Y27" s="9"/>
      <c r="Z27" s="9"/>
      <c r="AA27" s="19"/>
    </row>
    <row r="28" spans="1:27" ht="15.75" thickBot="1" x14ac:dyDescent="0.3">
      <c r="A28" s="24"/>
      <c r="B28" s="25">
        <v>2</v>
      </c>
      <c r="C28" s="36"/>
      <c r="D28" s="42"/>
      <c r="E28" s="10"/>
      <c r="F28" s="9"/>
      <c r="G28" s="19"/>
      <c r="H28" s="46"/>
      <c r="I28" s="42"/>
      <c r="J28" s="9"/>
      <c r="K28" s="9"/>
      <c r="L28" s="19"/>
      <c r="M28" s="46"/>
      <c r="N28" s="42"/>
      <c r="O28" s="9"/>
      <c r="P28" s="9"/>
      <c r="Q28" s="19"/>
      <c r="R28" s="46"/>
      <c r="S28" s="42"/>
      <c r="T28" s="9"/>
      <c r="U28" s="9"/>
      <c r="V28" s="19"/>
      <c r="W28" s="46"/>
      <c r="X28" s="42"/>
      <c r="Y28" s="9"/>
      <c r="Z28" s="9"/>
      <c r="AA28" s="19"/>
    </row>
    <row r="29" spans="1:27" x14ac:dyDescent="0.25">
      <c r="A29" s="4">
        <v>14</v>
      </c>
      <c r="B29" s="22">
        <v>1</v>
      </c>
      <c r="C29" s="38"/>
      <c r="D29" s="44"/>
      <c r="E29" s="11"/>
      <c r="F29" s="11"/>
      <c r="G29" s="16"/>
      <c r="H29" s="47"/>
      <c r="I29" s="44"/>
      <c r="J29" s="11"/>
      <c r="K29" s="11"/>
      <c r="L29" s="16"/>
      <c r="M29" s="47"/>
      <c r="N29" s="44"/>
      <c r="O29" s="11"/>
      <c r="P29" s="11"/>
      <c r="Q29" s="16"/>
      <c r="R29" s="47"/>
      <c r="S29" s="44"/>
      <c r="T29" s="11"/>
      <c r="U29" s="11"/>
      <c r="V29" s="16"/>
      <c r="W29" s="47"/>
      <c r="X29" s="44"/>
      <c r="Y29" s="11"/>
      <c r="Z29" s="11"/>
      <c r="AA29" s="16"/>
    </row>
    <row r="30" spans="1:27" ht="15.75" thickBot="1" x14ac:dyDescent="0.3">
      <c r="A30" s="24"/>
      <c r="B30" s="25">
        <v>2</v>
      </c>
      <c r="C30" s="39"/>
      <c r="D30" s="45"/>
      <c r="E30" s="28"/>
      <c r="F30" s="28"/>
      <c r="G30" s="30"/>
      <c r="H30" s="48"/>
      <c r="I30" s="45"/>
      <c r="J30" s="28"/>
      <c r="K30" s="28"/>
      <c r="L30" s="30"/>
      <c r="M30" s="48"/>
      <c r="N30" s="45"/>
      <c r="O30" s="28"/>
      <c r="P30" s="28"/>
      <c r="Q30" s="30"/>
      <c r="R30" s="48"/>
      <c r="S30" s="45"/>
      <c r="T30" s="28"/>
      <c r="U30" s="28"/>
      <c r="V30" s="30"/>
      <c r="W30" s="48"/>
      <c r="X30" s="45"/>
      <c r="Y30" s="28"/>
      <c r="Z30" s="28"/>
      <c r="AA30" s="30"/>
    </row>
    <row r="31" spans="1:27" x14ac:dyDescent="0.25">
      <c r="A31" s="4">
        <v>15</v>
      </c>
      <c r="B31" s="22">
        <v>1</v>
      </c>
      <c r="C31" s="36"/>
      <c r="D31" s="42"/>
      <c r="E31" s="9"/>
      <c r="F31" s="9"/>
      <c r="G31" s="19"/>
      <c r="H31" s="46"/>
      <c r="I31" s="42"/>
      <c r="J31" s="9"/>
      <c r="K31" s="9"/>
      <c r="L31" s="19"/>
      <c r="M31" s="46"/>
      <c r="N31" s="42"/>
      <c r="O31" s="9"/>
      <c r="P31" s="9"/>
      <c r="Q31" s="19"/>
      <c r="R31" s="46"/>
      <c r="S31" s="42"/>
      <c r="T31" s="9"/>
      <c r="U31" s="9"/>
      <c r="V31" s="19"/>
      <c r="W31" s="46"/>
      <c r="X31" s="42"/>
      <c r="Y31" s="9"/>
      <c r="Z31" s="9"/>
      <c r="AA31" s="19"/>
    </row>
    <row r="32" spans="1:27" ht="15.75" thickBot="1" x14ac:dyDescent="0.3">
      <c r="A32" s="24"/>
      <c r="B32" s="25">
        <v>2</v>
      </c>
      <c r="C32" s="36"/>
      <c r="D32" s="42"/>
      <c r="E32" s="10"/>
      <c r="F32" s="9"/>
      <c r="G32" s="19"/>
      <c r="H32" s="46"/>
      <c r="I32" s="42"/>
      <c r="J32" s="9"/>
      <c r="K32" s="9"/>
      <c r="L32" s="19"/>
      <c r="M32" s="46"/>
      <c r="N32" s="42"/>
      <c r="O32" s="9"/>
      <c r="P32" s="9"/>
      <c r="Q32" s="19"/>
      <c r="R32" s="46"/>
      <c r="S32" s="42"/>
      <c r="T32" s="9"/>
      <c r="U32" s="9"/>
      <c r="V32" s="19"/>
      <c r="W32" s="46"/>
      <c r="X32" s="42"/>
      <c r="Y32" s="9"/>
      <c r="Z32" s="9"/>
      <c r="AA32" s="19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B62E0-0562-4262-8F85-F7125458A780}">
  <sheetPr codeName="Arkusz4"/>
  <dimension ref="A1:MS32"/>
  <sheetViews>
    <sheetView workbookViewId="0">
      <selection sqref="A1:AA20"/>
    </sheetView>
  </sheetViews>
  <sheetFormatPr defaultRowHeight="15" x14ac:dyDescent="0.25"/>
  <cols>
    <col min="1" max="1" width="4.5703125" customWidth="1"/>
    <col min="2" max="2" width="4.42578125" customWidth="1"/>
    <col min="3" max="3" width="9.140625" style="41"/>
    <col min="4" max="4" width="10.85546875" style="41" customWidth="1"/>
    <col min="5" max="5" width="8.28515625" customWidth="1"/>
    <col min="6" max="6" width="5.140625" customWidth="1"/>
    <col min="7" max="7" width="5.28515625" customWidth="1"/>
    <col min="8" max="9" width="9.140625" style="41"/>
    <col min="10" max="10" width="8.140625" customWidth="1"/>
    <col min="11" max="11" width="6" customWidth="1"/>
    <col min="12" max="12" width="5.7109375" customWidth="1"/>
    <col min="13" max="14" width="9.140625" style="41"/>
    <col min="15" max="15" width="8.140625" customWidth="1"/>
    <col min="16" max="16" width="5.5703125" customWidth="1"/>
    <col min="17" max="17" width="5.85546875" customWidth="1"/>
    <col min="18" max="19" width="9.140625" style="41"/>
    <col min="20" max="20" width="7.28515625" customWidth="1"/>
    <col min="21" max="21" width="5.42578125" customWidth="1"/>
    <col min="22" max="22" width="5.28515625" customWidth="1"/>
    <col min="23" max="24" width="9.140625" style="41"/>
    <col min="25" max="25" width="8.5703125" customWidth="1"/>
    <col min="26" max="26" width="5.140625" customWidth="1"/>
    <col min="27" max="27" width="5.42578125" customWidth="1"/>
  </cols>
  <sheetData>
    <row r="1" spans="1:357" s="2" customFormat="1" x14ac:dyDescent="0.25">
      <c r="A1" s="5"/>
      <c r="B1" s="21"/>
      <c r="C1" s="6"/>
      <c r="D1" s="7"/>
      <c r="E1" s="7" t="s">
        <v>3</v>
      </c>
      <c r="F1" s="7"/>
      <c r="G1" s="17"/>
      <c r="H1" s="8"/>
      <c r="I1" s="8"/>
      <c r="J1" s="8" t="s">
        <v>4</v>
      </c>
      <c r="K1" s="8"/>
      <c r="L1" s="14"/>
      <c r="M1" s="7"/>
      <c r="N1" s="7"/>
      <c r="O1" s="7" t="s">
        <v>5</v>
      </c>
      <c r="P1" s="7"/>
      <c r="Q1" s="17"/>
      <c r="R1" s="8"/>
      <c r="S1" s="8"/>
      <c r="T1" s="8" t="s">
        <v>6</v>
      </c>
      <c r="U1" s="8"/>
      <c r="V1" s="14"/>
      <c r="W1" s="7"/>
      <c r="X1" s="7"/>
      <c r="Y1" s="7" t="s">
        <v>35</v>
      </c>
      <c r="Z1" s="7"/>
      <c r="AA1" s="20"/>
    </row>
    <row r="2" spans="1:357" s="3" customFormat="1" ht="15.75" thickBot="1" x14ac:dyDescent="0.3">
      <c r="A2" s="12" t="s">
        <v>1</v>
      </c>
      <c r="B2" s="18" t="s">
        <v>2</v>
      </c>
      <c r="C2" s="12" t="s">
        <v>7</v>
      </c>
      <c r="D2" s="12" t="s">
        <v>8</v>
      </c>
      <c r="E2" s="12" t="s">
        <v>36</v>
      </c>
      <c r="F2" s="12" t="s">
        <v>10</v>
      </c>
      <c r="G2" s="18" t="s">
        <v>9</v>
      </c>
      <c r="H2" s="13" t="s">
        <v>7</v>
      </c>
      <c r="I2" s="13" t="s">
        <v>8</v>
      </c>
      <c r="J2" s="13" t="s">
        <v>36</v>
      </c>
      <c r="K2" s="13" t="s">
        <v>10</v>
      </c>
      <c r="L2" s="15" t="s">
        <v>9</v>
      </c>
      <c r="M2" s="12" t="s">
        <v>7</v>
      </c>
      <c r="N2" s="12" t="s">
        <v>8</v>
      </c>
      <c r="O2" s="12" t="s">
        <v>36</v>
      </c>
      <c r="P2" s="12" t="s">
        <v>10</v>
      </c>
      <c r="Q2" s="18" t="s">
        <v>9</v>
      </c>
      <c r="R2" s="13" t="s">
        <v>7</v>
      </c>
      <c r="S2" s="13" t="s">
        <v>8</v>
      </c>
      <c r="T2" s="13" t="s">
        <v>36</v>
      </c>
      <c r="U2" s="13" t="s">
        <v>10</v>
      </c>
      <c r="V2" s="15" t="s">
        <v>9</v>
      </c>
      <c r="W2" s="12" t="s">
        <v>7</v>
      </c>
      <c r="X2" s="12" t="s">
        <v>8</v>
      </c>
      <c r="Y2" s="12" t="s">
        <v>36</v>
      </c>
      <c r="Z2" s="12" t="s">
        <v>10</v>
      </c>
      <c r="AA2" s="18" t="s">
        <v>9</v>
      </c>
    </row>
    <row r="3" spans="1:357" ht="18" customHeight="1" thickTop="1" x14ac:dyDescent="0.25">
      <c r="A3" s="4">
        <v>1</v>
      </c>
      <c r="B3" s="22">
        <v>1</v>
      </c>
      <c r="C3" s="36">
        <v>24.35</v>
      </c>
      <c r="D3" s="42">
        <v>2.76</v>
      </c>
      <c r="E3" s="10">
        <v>21.590000000000003</v>
      </c>
      <c r="F3" s="9">
        <v>1</v>
      </c>
      <c r="G3" s="19">
        <v>3</v>
      </c>
      <c r="H3" s="46">
        <v>21.94</v>
      </c>
      <c r="I3" s="42">
        <v>5.94</v>
      </c>
      <c r="J3" s="9">
        <v>16</v>
      </c>
      <c r="K3" s="9">
        <v>4</v>
      </c>
      <c r="L3" s="19">
        <v>6</v>
      </c>
      <c r="M3" s="46">
        <v>42.36</v>
      </c>
      <c r="N3" s="42">
        <v>9.7899999999999991</v>
      </c>
      <c r="O3" s="9">
        <v>32.57</v>
      </c>
      <c r="P3" s="9">
        <v>1</v>
      </c>
      <c r="Q3" s="19">
        <v>3</v>
      </c>
      <c r="R3" s="46">
        <v>17.79</v>
      </c>
      <c r="S3" s="42">
        <v>5.27</v>
      </c>
      <c r="T3" s="9">
        <v>12.52</v>
      </c>
      <c r="U3" s="9">
        <v>3</v>
      </c>
      <c r="V3" s="19">
        <v>6</v>
      </c>
      <c r="W3" s="46">
        <v>28.97</v>
      </c>
      <c r="X3" s="42">
        <v>11.25</v>
      </c>
      <c r="Y3" s="9">
        <v>17.72</v>
      </c>
      <c r="Z3" s="9">
        <v>1</v>
      </c>
      <c r="AA3" s="19">
        <v>4</v>
      </c>
      <c r="AB3" s="1"/>
      <c r="BA3" s="1"/>
      <c r="BC3" s="1"/>
      <c r="BZ3" s="1"/>
      <c r="CY3" s="1"/>
      <c r="DA3" s="1"/>
      <c r="DX3" s="1"/>
      <c r="EW3" s="1"/>
      <c r="FV3" s="1"/>
      <c r="GU3" s="1"/>
      <c r="GW3" s="1"/>
      <c r="GY3" s="1"/>
      <c r="HT3" s="1"/>
      <c r="IS3" s="1"/>
      <c r="IU3" s="1"/>
      <c r="JR3" s="1"/>
      <c r="KQ3" s="1"/>
      <c r="KS3" s="1"/>
      <c r="LP3" s="1"/>
      <c r="MO3" s="1"/>
      <c r="MQ3" s="1"/>
      <c r="MS3" s="1"/>
    </row>
    <row r="4" spans="1:357" ht="16.5" customHeight="1" thickBot="1" x14ac:dyDescent="0.3">
      <c r="A4" s="24"/>
      <c r="B4" s="25">
        <v>2</v>
      </c>
      <c r="C4" s="37">
        <v>10.44</v>
      </c>
      <c r="D4" s="43">
        <v>2.77</v>
      </c>
      <c r="E4" s="26">
        <v>7.67</v>
      </c>
      <c r="F4" s="26">
        <v>1</v>
      </c>
      <c r="G4" s="27">
        <v>4</v>
      </c>
      <c r="H4" s="37">
        <v>14.77</v>
      </c>
      <c r="I4" s="43">
        <v>5.96</v>
      </c>
      <c r="J4" s="26">
        <v>8.8099999999999987</v>
      </c>
      <c r="K4" s="26">
        <v>2</v>
      </c>
      <c r="L4" s="27">
        <v>5</v>
      </c>
      <c r="M4" s="37">
        <v>17.38</v>
      </c>
      <c r="N4" s="43">
        <v>11</v>
      </c>
      <c r="O4" s="26">
        <v>6.379999999999999</v>
      </c>
      <c r="P4" s="26">
        <v>1</v>
      </c>
      <c r="Q4" s="27">
        <v>5</v>
      </c>
      <c r="R4" s="37">
        <v>13.8</v>
      </c>
      <c r="S4" s="43">
        <v>3.74</v>
      </c>
      <c r="T4" s="26">
        <v>10.06</v>
      </c>
      <c r="U4" s="26">
        <v>1</v>
      </c>
      <c r="V4" s="27">
        <v>3</v>
      </c>
      <c r="W4" s="37">
        <v>18.48</v>
      </c>
      <c r="X4" s="43">
        <v>7.03</v>
      </c>
      <c r="Y4" s="26">
        <v>11.45</v>
      </c>
      <c r="Z4" s="26">
        <v>1</v>
      </c>
      <c r="AA4" s="27">
        <v>4</v>
      </c>
      <c r="AB4" s="1"/>
    </row>
    <row r="5" spans="1:357" ht="16.5" customHeight="1" x14ac:dyDescent="0.25">
      <c r="A5" s="4">
        <v>2</v>
      </c>
      <c r="B5" s="22">
        <v>1</v>
      </c>
      <c r="C5" s="38">
        <v>24.35</v>
      </c>
      <c r="D5" s="44">
        <v>2.76</v>
      </c>
      <c r="E5" s="23">
        <v>21.590000000000003</v>
      </c>
      <c r="F5" s="11">
        <v>1</v>
      </c>
      <c r="G5" s="16">
        <v>3</v>
      </c>
      <c r="H5" s="47">
        <v>21.94</v>
      </c>
      <c r="I5" s="44">
        <v>5.94</v>
      </c>
      <c r="J5" s="11">
        <v>16</v>
      </c>
      <c r="K5" s="11">
        <v>4</v>
      </c>
      <c r="L5" s="16">
        <v>6</v>
      </c>
      <c r="M5" s="47">
        <v>42.36</v>
      </c>
      <c r="N5" s="44">
        <v>9.7899999999999991</v>
      </c>
      <c r="O5" s="11">
        <v>32.57</v>
      </c>
      <c r="P5" s="11">
        <v>1</v>
      </c>
      <c r="Q5" s="16">
        <v>3</v>
      </c>
      <c r="R5" s="47">
        <v>17.79</v>
      </c>
      <c r="S5" s="44">
        <v>5.27</v>
      </c>
      <c r="T5" s="11">
        <v>12.52</v>
      </c>
      <c r="U5" s="11">
        <v>3</v>
      </c>
      <c r="V5" s="16">
        <v>6</v>
      </c>
      <c r="W5" s="47">
        <v>28.97</v>
      </c>
      <c r="X5" s="44">
        <v>11.25</v>
      </c>
      <c r="Y5" s="11">
        <v>17.72</v>
      </c>
      <c r="Z5" s="11">
        <v>1</v>
      </c>
      <c r="AA5" s="16">
        <v>4</v>
      </c>
      <c r="AB5" s="1"/>
    </row>
    <row r="6" spans="1:357" ht="15.75" thickBot="1" x14ac:dyDescent="0.3">
      <c r="A6" s="24"/>
      <c r="B6" s="25">
        <v>2</v>
      </c>
      <c r="C6" s="39">
        <v>10.44</v>
      </c>
      <c r="D6" s="45">
        <v>2.77</v>
      </c>
      <c r="E6" s="29">
        <v>7.67</v>
      </c>
      <c r="F6" s="28">
        <v>1</v>
      </c>
      <c r="G6" s="30">
        <v>4</v>
      </c>
      <c r="H6" s="48">
        <v>14.77</v>
      </c>
      <c r="I6" s="45">
        <v>5.96</v>
      </c>
      <c r="J6" s="28">
        <v>8.8099999999999987</v>
      </c>
      <c r="K6" s="28">
        <v>2</v>
      </c>
      <c r="L6" s="30">
        <v>5</v>
      </c>
      <c r="M6" s="48">
        <v>17.38</v>
      </c>
      <c r="N6" s="45">
        <v>11</v>
      </c>
      <c r="O6" s="28">
        <v>6.379999999999999</v>
      </c>
      <c r="P6" s="28">
        <v>1</v>
      </c>
      <c r="Q6" s="30">
        <v>5</v>
      </c>
      <c r="R6" s="48">
        <v>13.8</v>
      </c>
      <c r="S6" s="45">
        <v>3.74</v>
      </c>
      <c r="T6" s="28">
        <v>10.06</v>
      </c>
      <c r="U6" s="28">
        <v>1</v>
      </c>
      <c r="V6" s="30">
        <v>3</v>
      </c>
      <c r="W6" s="48">
        <v>18.48</v>
      </c>
      <c r="X6" s="45">
        <v>7.03</v>
      </c>
      <c r="Y6" s="28">
        <v>11.45</v>
      </c>
      <c r="Z6" s="28">
        <v>1</v>
      </c>
      <c r="AA6" s="30">
        <v>4</v>
      </c>
      <c r="AB6" s="1"/>
    </row>
    <row r="7" spans="1:357" ht="13.5" customHeight="1" x14ac:dyDescent="0.25">
      <c r="A7" s="4">
        <v>3</v>
      </c>
      <c r="B7" s="22">
        <v>1</v>
      </c>
      <c r="C7" s="36">
        <v>16.12</v>
      </c>
      <c r="D7" s="42">
        <v>2.73</v>
      </c>
      <c r="E7" s="9">
        <v>13.39</v>
      </c>
      <c r="F7" s="9">
        <v>1</v>
      </c>
      <c r="G7" s="19">
        <v>4</v>
      </c>
      <c r="H7" s="46">
        <v>29.92</v>
      </c>
      <c r="I7" s="42">
        <v>16.64</v>
      </c>
      <c r="J7" s="9">
        <v>13.280000000000001</v>
      </c>
      <c r="K7" s="9">
        <v>3</v>
      </c>
      <c r="L7" s="19">
        <v>5</v>
      </c>
      <c r="M7" s="46">
        <v>21.69</v>
      </c>
      <c r="N7" s="42">
        <v>11.04</v>
      </c>
      <c r="O7" s="9">
        <v>10.650000000000002</v>
      </c>
      <c r="P7" s="9">
        <v>1</v>
      </c>
      <c r="Q7" s="19">
        <v>6</v>
      </c>
      <c r="R7" s="46">
        <v>18.510000000000002</v>
      </c>
      <c r="S7" s="42">
        <v>3.75</v>
      </c>
      <c r="T7" s="9">
        <v>14.760000000000002</v>
      </c>
      <c r="U7" s="9">
        <v>2</v>
      </c>
      <c r="V7" s="19">
        <v>4</v>
      </c>
      <c r="W7" s="46">
        <v>15.06</v>
      </c>
      <c r="X7" s="42">
        <v>7.05</v>
      </c>
      <c r="Y7" s="9">
        <v>8.0100000000000016</v>
      </c>
      <c r="Z7" s="9">
        <v>2</v>
      </c>
      <c r="AA7" s="19">
        <v>5</v>
      </c>
      <c r="AB7" s="1"/>
    </row>
    <row r="8" spans="1:357" ht="16.5" customHeight="1" thickBot="1" x14ac:dyDescent="0.3">
      <c r="A8" s="24"/>
      <c r="B8" s="25">
        <v>2</v>
      </c>
      <c r="C8" s="40">
        <v>9.32</v>
      </c>
      <c r="D8" s="43">
        <v>2.79</v>
      </c>
      <c r="E8" s="26">
        <v>6.53</v>
      </c>
      <c r="F8" s="26">
        <v>1</v>
      </c>
      <c r="G8" s="27">
        <v>4</v>
      </c>
      <c r="H8" s="37">
        <v>22.76</v>
      </c>
      <c r="I8" s="43">
        <v>5.98</v>
      </c>
      <c r="J8" s="26">
        <v>16.78</v>
      </c>
      <c r="K8" s="26">
        <v>2</v>
      </c>
      <c r="L8" s="27">
        <v>4</v>
      </c>
      <c r="M8" s="37">
        <v>20.329999999999998</v>
      </c>
      <c r="N8" s="43">
        <v>11.05</v>
      </c>
      <c r="O8" s="26">
        <v>9.2799999999999976</v>
      </c>
      <c r="P8" s="26">
        <v>1</v>
      </c>
      <c r="Q8" s="27">
        <v>4</v>
      </c>
      <c r="R8" s="37">
        <v>10.57</v>
      </c>
      <c r="S8" s="43">
        <v>3.76</v>
      </c>
      <c r="T8" s="26">
        <v>6.8100000000000005</v>
      </c>
      <c r="U8" s="26">
        <v>1</v>
      </c>
      <c r="V8" s="27">
        <v>4</v>
      </c>
      <c r="W8" s="37">
        <v>19.39</v>
      </c>
      <c r="X8" s="43">
        <v>7.02</v>
      </c>
      <c r="Y8" s="26">
        <v>12.370000000000001</v>
      </c>
      <c r="Z8" s="26">
        <v>1</v>
      </c>
      <c r="AA8" s="27">
        <v>3</v>
      </c>
      <c r="AB8" s="1"/>
    </row>
    <row r="9" spans="1:357" x14ac:dyDescent="0.25">
      <c r="A9" s="4">
        <v>4</v>
      </c>
      <c r="B9" s="22">
        <v>1</v>
      </c>
      <c r="C9" s="38">
        <v>20.71</v>
      </c>
      <c r="D9" s="44">
        <v>2.76</v>
      </c>
      <c r="E9" s="11">
        <v>17.950000000000003</v>
      </c>
      <c r="F9" s="11">
        <v>2</v>
      </c>
      <c r="G9" s="16">
        <v>5</v>
      </c>
      <c r="H9" s="47">
        <v>25.28</v>
      </c>
      <c r="I9" s="44">
        <v>10.31</v>
      </c>
      <c r="J9" s="11">
        <v>14.97</v>
      </c>
      <c r="K9" s="11">
        <v>2</v>
      </c>
      <c r="L9" s="16">
        <v>4</v>
      </c>
      <c r="M9" s="47">
        <v>30.58</v>
      </c>
      <c r="N9" s="44">
        <v>11.09</v>
      </c>
      <c r="O9" s="11">
        <v>19.489999999999998</v>
      </c>
      <c r="P9" s="11">
        <v>1</v>
      </c>
      <c r="Q9" s="16">
        <v>3</v>
      </c>
      <c r="R9" s="47">
        <v>32.01</v>
      </c>
      <c r="S9" s="44">
        <v>3.73</v>
      </c>
      <c r="T9" s="11">
        <v>28.279999999999998</v>
      </c>
      <c r="U9" s="11">
        <v>1</v>
      </c>
      <c r="V9" s="16">
        <v>3</v>
      </c>
      <c r="W9" s="47">
        <v>23.74</v>
      </c>
      <c r="X9" s="44">
        <v>7.06</v>
      </c>
      <c r="Y9" s="11">
        <v>16.68</v>
      </c>
      <c r="Z9" s="11">
        <v>1</v>
      </c>
      <c r="AA9" s="16">
        <v>3</v>
      </c>
    </row>
    <row r="10" spans="1:357" ht="15.75" thickBot="1" x14ac:dyDescent="0.3">
      <c r="A10" s="24"/>
      <c r="B10" s="25">
        <v>2</v>
      </c>
      <c r="C10" s="39">
        <v>11.07</v>
      </c>
      <c r="D10" s="45">
        <v>2.75</v>
      </c>
      <c r="E10" s="28">
        <v>8.32</v>
      </c>
      <c r="F10" s="28">
        <v>1</v>
      </c>
      <c r="G10" s="30">
        <v>4</v>
      </c>
      <c r="H10" s="48">
        <v>15.72</v>
      </c>
      <c r="I10" s="45">
        <v>5.95</v>
      </c>
      <c r="J10" s="28">
        <v>9.77</v>
      </c>
      <c r="K10" s="28">
        <v>3</v>
      </c>
      <c r="L10" s="30">
        <v>6</v>
      </c>
      <c r="M10" s="48">
        <v>22.54</v>
      </c>
      <c r="N10" s="45">
        <v>11.01</v>
      </c>
      <c r="O10" s="28">
        <v>11.53</v>
      </c>
      <c r="P10" s="28">
        <v>1</v>
      </c>
      <c r="Q10" s="30">
        <v>3</v>
      </c>
      <c r="R10" s="48">
        <v>22.33</v>
      </c>
      <c r="S10" s="45">
        <v>3.75</v>
      </c>
      <c r="T10" s="28">
        <v>18.579999999999998</v>
      </c>
      <c r="U10" s="28">
        <v>1</v>
      </c>
      <c r="V10" s="30">
        <v>3</v>
      </c>
      <c r="W10" s="48">
        <v>20.07</v>
      </c>
      <c r="X10" s="45">
        <v>7.05</v>
      </c>
      <c r="Y10" s="28">
        <v>13.02</v>
      </c>
      <c r="Z10" s="28">
        <v>1</v>
      </c>
      <c r="AA10" s="30">
        <v>3</v>
      </c>
      <c r="AB10" s="1"/>
    </row>
    <row r="11" spans="1:357" ht="14.25" customHeight="1" x14ac:dyDescent="0.25">
      <c r="A11" s="4">
        <v>5</v>
      </c>
      <c r="B11" s="22">
        <v>1</v>
      </c>
      <c r="C11" s="36">
        <v>27.35</v>
      </c>
      <c r="D11" s="42">
        <v>2.77</v>
      </c>
      <c r="E11" s="9">
        <v>24.580000000000002</v>
      </c>
      <c r="F11" s="9">
        <v>1</v>
      </c>
      <c r="G11" s="19">
        <v>9</v>
      </c>
      <c r="H11" s="46">
        <v>31.18</v>
      </c>
      <c r="I11" s="42">
        <v>6.01</v>
      </c>
      <c r="J11" s="9">
        <v>25.17</v>
      </c>
      <c r="K11" s="9">
        <v>4</v>
      </c>
      <c r="L11" s="19">
        <v>13</v>
      </c>
      <c r="M11" s="46">
        <v>28.76</v>
      </c>
      <c r="N11" s="42">
        <v>11.07</v>
      </c>
      <c r="O11" s="9">
        <v>17.690000000000001</v>
      </c>
      <c r="P11" s="9">
        <v>1</v>
      </c>
      <c r="Q11" s="19">
        <v>7</v>
      </c>
      <c r="R11" s="46">
        <v>25.24</v>
      </c>
      <c r="S11" s="42">
        <v>3.74</v>
      </c>
      <c r="T11" s="9">
        <v>21.5</v>
      </c>
      <c r="U11" s="9">
        <v>3</v>
      </c>
      <c r="V11" s="19">
        <v>8</v>
      </c>
      <c r="W11" s="46">
        <v>29.52</v>
      </c>
      <c r="X11" s="42">
        <v>7.03</v>
      </c>
      <c r="Y11" s="9">
        <v>22.49</v>
      </c>
      <c r="Z11" s="9">
        <v>1</v>
      </c>
      <c r="AA11" s="19">
        <v>10</v>
      </c>
      <c r="AB11" s="1"/>
    </row>
    <row r="12" spans="1:357" ht="15.75" thickBot="1" x14ac:dyDescent="0.3">
      <c r="A12" s="24"/>
      <c r="B12" s="25">
        <v>2</v>
      </c>
      <c r="C12" s="36">
        <v>17.77</v>
      </c>
      <c r="D12" s="42">
        <v>2.8</v>
      </c>
      <c r="E12" s="10">
        <v>14.969999999999999</v>
      </c>
      <c r="F12" s="9">
        <v>1</v>
      </c>
      <c r="G12" s="19">
        <v>3</v>
      </c>
      <c r="H12" s="46">
        <v>15.28</v>
      </c>
      <c r="I12" s="42">
        <v>5.97</v>
      </c>
      <c r="J12" s="9">
        <v>9.3099999999999987</v>
      </c>
      <c r="K12" s="9">
        <v>2</v>
      </c>
      <c r="L12" s="19">
        <v>14</v>
      </c>
      <c r="M12" s="46">
        <v>17.579999999999998</v>
      </c>
      <c r="N12" s="42">
        <v>11.01</v>
      </c>
      <c r="O12" s="9">
        <v>6.5699999999999985</v>
      </c>
      <c r="P12" s="9">
        <v>1</v>
      </c>
      <c r="Q12" s="19">
        <v>12</v>
      </c>
      <c r="R12" s="46">
        <v>11.39</v>
      </c>
      <c r="S12" s="42">
        <v>3.78</v>
      </c>
      <c r="T12" s="9">
        <v>7.6100000000000012</v>
      </c>
      <c r="U12" s="9">
        <v>2</v>
      </c>
      <c r="V12" s="19">
        <v>6</v>
      </c>
      <c r="W12" s="46">
        <v>18.260000000000002</v>
      </c>
      <c r="X12" s="42">
        <v>7.05</v>
      </c>
      <c r="Y12" s="9">
        <v>11.21</v>
      </c>
      <c r="Z12" s="9">
        <v>1</v>
      </c>
      <c r="AA12" s="19">
        <v>6</v>
      </c>
    </row>
    <row r="13" spans="1:357" x14ac:dyDescent="0.25">
      <c r="A13" s="4">
        <v>6</v>
      </c>
      <c r="B13" s="22">
        <v>1</v>
      </c>
      <c r="C13" s="38">
        <v>17.100000000000001</v>
      </c>
      <c r="D13" s="44">
        <v>2.79</v>
      </c>
      <c r="E13" s="11">
        <v>14.310000000000002</v>
      </c>
      <c r="F13" s="11">
        <v>1</v>
      </c>
      <c r="G13" s="16">
        <v>15</v>
      </c>
      <c r="H13" s="47">
        <v>20.3</v>
      </c>
      <c r="I13" s="44">
        <v>10.29</v>
      </c>
      <c r="J13" s="11">
        <v>10.010000000000002</v>
      </c>
      <c r="K13" s="11">
        <v>2</v>
      </c>
      <c r="L13" s="16">
        <v>15</v>
      </c>
      <c r="M13" s="47">
        <v>26.93</v>
      </c>
      <c r="N13" s="44">
        <v>11.09</v>
      </c>
      <c r="O13" s="11">
        <v>15.84</v>
      </c>
      <c r="P13" s="11">
        <v>2</v>
      </c>
      <c r="Q13" s="16">
        <v>13</v>
      </c>
      <c r="R13" s="47">
        <v>25.09</v>
      </c>
      <c r="S13" s="44">
        <v>9.6</v>
      </c>
      <c r="T13" s="11">
        <v>15.49</v>
      </c>
      <c r="U13" s="11">
        <v>1</v>
      </c>
      <c r="V13" s="16">
        <v>8</v>
      </c>
      <c r="W13" s="47">
        <v>25.36</v>
      </c>
      <c r="X13" s="44">
        <v>11.31</v>
      </c>
      <c r="Y13" s="11">
        <v>14.049999999999999</v>
      </c>
      <c r="Z13" s="11">
        <v>1</v>
      </c>
      <c r="AA13" s="16">
        <v>8</v>
      </c>
    </row>
    <row r="14" spans="1:357" ht="15.75" thickBot="1" x14ac:dyDescent="0.3">
      <c r="A14" s="24"/>
      <c r="B14" s="25">
        <v>2</v>
      </c>
      <c r="C14" s="39">
        <v>17.899999999999999</v>
      </c>
      <c r="D14" s="45">
        <v>2.79</v>
      </c>
      <c r="E14" s="28">
        <v>15.11</v>
      </c>
      <c r="F14" s="28">
        <v>1</v>
      </c>
      <c r="G14" s="30">
        <v>5</v>
      </c>
      <c r="H14" s="48">
        <v>23.61</v>
      </c>
      <c r="I14" s="45">
        <v>6</v>
      </c>
      <c r="J14" s="28">
        <v>17.61</v>
      </c>
      <c r="K14" s="28">
        <v>2</v>
      </c>
      <c r="L14" s="30">
        <v>5</v>
      </c>
      <c r="M14" s="48">
        <v>37.03</v>
      </c>
      <c r="N14" s="45">
        <v>11.03</v>
      </c>
      <c r="O14" s="28">
        <v>26</v>
      </c>
      <c r="P14" s="28">
        <v>1</v>
      </c>
      <c r="Q14" s="30">
        <v>3</v>
      </c>
      <c r="R14" s="48">
        <v>13.05</v>
      </c>
      <c r="S14" s="45">
        <v>3.79</v>
      </c>
      <c r="T14" s="28">
        <v>9.2600000000000016</v>
      </c>
      <c r="U14" s="28">
        <v>1</v>
      </c>
      <c r="V14" s="30">
        <v>5</v>
      </c>
      <c r="W14" s="48">
        <v>18.940000000000001</v>
      </c>
      <c r="X14" s="45">
        <v>7.01</v>
      </c>
      <c r="Y14" s="28">
        <v>11.930000000000001</v>
      </c>
      <c r="Z14" s="28">
        <v>2</v>
      </c>
      <c r="AA14" s="30">
        <v>8</v>
      </c>
    </row>
    <row r="15" spans="1:357" x14ac:dyDescent="0.25">
      <c r="A15" s="4">
        <v>7</v>
      </c>
      <c r="B15" s="22">
        <v>1</v>
      </c>
      <c r="C15" s="36">
        <v>23.25</v>
      </c>
      <c r="D15" s="42">
        <v>2.76</v>
      </c>
      <c r="E15" s="9">
        <v>20.490000000000002</v>
      </c>
      <c r="F15" s="9">
        <v>1</v>
      </c>
      <c r="G15" s="19">
        <v>6</v>
      </c>
      <c r="H15" s="46">
        <v>27.79</v>
      </c>
      <c r="I15" s="42">
        <v>10.29</v>
      </c>
      <c r="J15" s="9">
        <v>17.5</v>
      </c>
      <c r="K15" s="9">
        <v>2</v>
      </c>
      <c r="L15" s="19">
        <v>8</v>
      </c>
      <c r="M15" s="46">
        <v>24.28</v>
      </c>
      <c r="N15" s="42">
        <v>11.06</v>
      </c>
      <c r="O15" s="9">
        <v>13.22</v>
      </c>
      <c r="P15" s="9">
        <v>6</v>
      </c>
      <c r="Q15" s="19">
        <v>11</v>
      </c>
      <c r="R15" s="46">
        <v>21.18</v>
      </c>
      <c r="S15" s="42">
        <v>5.28</v>
      </c>
      <c r="T15" s="9">
        <v>15.899999999999999</v>
      </c>
      <c r="U15" s="9">
        <v>3</v>
      </c>
      <c r="V15" s="19">
        <v>8</v>
      </c>
      <c r="W15" s="46">
        <v>29.4</v>
      </c>
      <c r="X15" s="42">
        <v>11.23</v>
      </c>
      <c r="Y15" s="9">
        <v>18.169999999999998</v>
      </c>
      <c r="Z15" s="9">
        <v>2</v>
      </c>
      <c r="AA15" s="19">
        <v>6</v>
      </c>
    </row>
    <row r="16" spans="1:357" ht="15.75" thickBot="1" x14ac:dyDescent="0.3">
      <c r="A16" s="24"/>
      <c r="B16" s="25">
        <v>2</v>
      </c>
      <c r="C16" s="36">
        <v>11.95</v>
      </c>
      <c r="D16" s="42">
        <v>2.8</v>
      </c>
      <c r="E16" s="10">
        <v>9.1499999999999986</v>
      </c>
      <c r="F16" s="9">
        <v>1</v>
      </c>
      <c r="G16" s="19">
        <v>3</v>
      </c>
      <c r="H16" s="46">
        <v>12.8</v>
      </c>
      <c r="I16" s="42">
        <v>5.98</v>
      </c>
      <c r="J16" s="9">
        <v>6.82</v>
      </c>
      <c r="K16" s="9">
        <v>2</v>
      </c>
      <c r="L16" s="19">
        <v>6</v>
      </c>
      <c r="M16" s="46">
        <v>24.11</v>
      </c>
      <c r="N16" s="42">
        <v>11.03</v>
      </c>
      <c r="O16" s="9">
        <v>13.08</v>
      </c>
      <c r="P16" s="9">
        <v>2</v>
      </c>
      <c r="Q16" s="19">
        <v>7</v>
      </c>
      <c r="R16" s="46">
        <v>16.88</v>
      </c>
      <c r="S16" s="42">
        <v>3.74</v>
      </c>
      <c r="T16" s="9">
        <v>13.139999999999999</v>
      </c>
      <c r="U16" s="9">
        <v>1</v>
      </c>
      <c r="V16" s="19">
        <v>4</v>
      </c>
      <c r="W16" s="46">
        <v>95.82</v>
      </c>
      <c r="X16" s="42">
        <v>7.01</v>
      </c>
      <c r="Y16" s="9">
        <v>88.809999999999988</v>
      </c>
      <c r="Z16" s="9">
        <v>1</v>
      </c>
      <c r="AA16" s="19">
        <v>6</v>
      </c>
    </row>
    <row r="17" spans="1:357" x14ac:dyDescent="0.25">
      <c r="A17" s="4">
        <v>8</v>
      </c>
      <c r="B17" s="22">
        <v>1</v>
      </c>
      <c r="C17" s="38">
        <v>21.74</v>
      </c>
      <c r="D17" s="44">
        <v>2.77</v>
      </c>
      <c r="E17" s="11">
        <v>18.97</v>
      </c>
      <c r="F17" s="11">
        <v>3</v>
      </c>
      <c r="G17" s="16">
        <v>6</v>
      </c>
      <c r="H17" s="47">
        <v>29.03</v>
      </c>
      <c r="I17" s="44">
        <v>16.649999999999999</v>
      </c>
      <c r="J17" s="11">
        <v>12.380000000000003</v>
      </c>
      <c r="K17" s="11">
        <v>4</v>
      </c>
      <c r="L17" s="16">
        <v>6</v>
      </c>
      <c r="M17" s="47">
        <v>26.27</v>
      </c>
      <c r="N17" s="44">
        <v>11.05</v>
      </c>
      <c r="O17" s="11">
        <v>15.219999999999999</v>
      </c>
      <c r="P17" s="11">
        <v>1</v>
      </c>
      <c r="Q17" s="16">
        <v>4</v>
      </c>
      <c r="R17" s="47">
        <v>24.81</v>
      </c>
      <c r="S17" s="44">
        <v>9.67</v>
      </c>
      <c r="T17" s="11">
        <v>15.139999999999999</v>
      </c>
      <c r="U17" s="11">
        <v>1</v>
      </c>
      <c r="V17" s="16">
        <v>4</v>
      </c>
      <c r="W17" s="47">
        <v>25.19</v>
      </c>
      <c r="X17" s="44">
        <v>9.16</v>
      </c>
      <c r="Y17" s="11">
        <v>16.03</v>
      </c>
      <c r="Z17" s="11">
        <v>4</v>
      </c>
      <c r="AA17" s="16">
        <v>8</v>
      </c>
      <c r="AB17" s="1"/>
      <c r="BA17" s="1"/>
      <c r="BC17" s="1"/>
      <c r="BZ17" s="1"/>
      <c r="CY17" s="1"/>
      <c r="DA17" s="1"/>
      <c r="DX17" s="1"/>
      <c r="EW17" s="1"/>
      <c r="FV17" s="1"/>
      <c r="GU17" s="1"/>
      <c r="GW17" s="1"/>
      <c r="GY17" s="1"/>
      <c r="HT17" s="1"/>
      <c r="IS17" s="1"/>
      <c r="IU17" s="1"/>
      <c r="JR17" s="1"/>
      <c r="KQ17" s="1"/>
      <c r="KS17" s="1"/>
      <c r="LP17" s="1"/>
      <c r="MO17" s="1"/>
      <c r="MQ17" s="1"/>
      <c r="MS17" s="1"/>
    </row>
    <row r="18" spans="1:357" ht="15.75" thickBot="1" x14ac:dyDescent="0.3">
      <c r="A18" s="24"/>
      <c r="B18" s="25">
        <v>2</v>
      </c>
      <c r="C18" s="39">
        <v>14.44</v>
      </c>
      <c r="D18" s="45">
        <v>2.78</v>
      </c>
      <c r="E18" s="28">
        <v>11.66</v>
      </c>
      <c r="F18" s="28">
        <v>1</v>
      </c>
      <c r="G18" s="30">
        <v>4</v>
      </c>
      <c r="H18" s="48">
        <v>23.8</v>
      </c>
      <c r="I18" s="45">
        <v>5.96</v>
      </c>
      <c r="J18" s="28">
        <v>17.84</v>
      </c>
      <c r="K18" s="28">
        <v>3</v>
      </c>
      <c r="L18" s="30">
        <v>5</v>
      </c>
      <c r="M18" s="48">
        <v>23.56</v>
      </c>
      <c r="N18" s="45">
        <v>11.01</v>
      </c>
      <c r="O18" s="28">
        <v>12.549999999999999</v>
      </c>
      <c r="P18" s="28">
        <v>1</v>
      </c>
      <c r="Q18" s="30">
        <v>3</v>
      </c>
      <c r="R18" s="48">
        <v>14.26</v>
      </c>
      <c r="S18" s="45">
        <v>3.74</v>
      </c>
      <c r="T18" s="28">
        <v>10.52</v>
      </c>
      <c r="U18" s="28">
        <v>1</v>
      </c>
      <c r="V18" s="30">
        <v>3</v>
      </c>
      <c r="W18" s="48">
        <v>23.01</v>
      </c>
      <c r="X18" s="45">
        <v>7</v>
      </c>
      <c r="Y18" s="28">
        <v>16.010000000000002</v>
      </c>
      <c r="Z18" s="28">
        <v>1</v>
      </c>
      <c r="AA18" s="30">
        <v>3</v>
      </c>
    </row>
    <row r="19" spans="1:357" x14ac:dyDescent="0.25">
      <c r="A19" s="4">
        <v>9</v>
      </c>
      <c r="B19" s="22">
        <v>1</v>
      </c>
      <c r="C19" s="36">
        <v>20.440000000000001</v>
      </c>
      <c r="D19" s="42">
        <v>2.77</v>
      </c>
      <c r="E19" s="9">
        <v>17.670000000000002</v>
      </c>
      <c r="F19" s="9">
        <v>2</v>
      </c>
      <c r="G19" s="19">
        <v>6</v>
      </c>
      <c r="H19" s="46">
        <v>31.91</v>
      </c>
      <c r="I19" s="42">
        <v>12.54</v>
      </c>
      <c r="J19" s="9">
        <v>19.37</v>
      </c>
      <c r="K19" s="9">
        <v>3</v>
      </c>
      <c r="L19" s="19">
        <v>5</v>
      </c>
      <c r="M19" s="46">
        <v>18.829999999999998</v>
      </c>
      <c r="N19" s="42">
        <v>11.02</v>
      </c>
      <c r="O19" s="9">
        <v>7.8099999999999987</v>
      </c>
      <c r="P19" s="9">
        <v>1</v>
      </c>
      <c r="Q19" s="19">
        <v>4</v>
      </c>
      <c r="R19" s="46">
        <v>11.49</v>
      </c>
      <c r="S19" s="42">
        <v>3.75</v>
      </c>
      <c r="T19" s="9">
        <v>7.74</v>
      </c>
      <c r="U19" s="9">
        <v>1</v>
      </c>
      <c r="V19" s="19">
        <v>4</v>
      </c>
      <c r="W19" s="46">
        <v>20.81</v>
      </c>
      <c r="X19" s="42">
        <v>9.16</v>
      </c>
      <c r="Y19" s="9">
        <v>11.649999999999999</v>
      </c>
      <c r="Z19" s="9">
        <v>2</v>
      </c>
      <c r="AA19" s="19">
        <v>5</v>
      </c>
      <c r="AB19" s="1"/>
      <c r="BA19" s="1"/>
      <c r="BC19" s="1"/>
      <c r="BZ19" s="1"/>
      <c r="CY19" s="1"/>
      <c r="DA19" s="1"/>
      <c r="DX19" s="1"/>
      <c r="EW19" s="1"/>
      <c r="FV19" s="1"/>
      <c r="GU19" s="1"/>
      <c r="GW19" s="1"/>
      <c r="GY19" s="1"/>
      <c r="HT19" s="1"/>
      <c r="IS19" s="1"/>
      <c r="IU19" s="1"/>
      <c r="JR19" s="1"/>
      <c r="KQ19" s="1"/>
      <c r="KS19" s="1"/>
      <c r="LP19" s="1"/>
      <c r="MO19" s="1"/>
      <c r="MQ19" s="1"/>
      <c r="MS19" s="1"/>
    </row>
    <row r="20" spans="1:357" ht="15.75" thickBot="1" x14ac:dyDescent="0.3">
      <c r="A20" s="24"/>
      <c r="B20" s="25">
        <v>2</v>
      </c>
      <c r="C20" s="36">
        <v>14.42</v>
      </c>
      <c r="D20" s="42">
        <v>2.78</v>
      </c>
      <c r="E20" s="10">
        <v>11.64</v>
      </c>
      <c r="F20" s="9">
        <v>1</v>
      </c>
      <c r="G20" s="19">
        <v>3</v>
      </c>
      <c r="H20" s="46">
        <v>19.89</v>
      </c>
      <c r="I20" s="42">
        <v>5.97</v>
      </c>
      <c r="J20" s="9">
        <v>13.920000000000002</v>
      </c>
      <c r="K20" s="9">
        <v>2</v>
      </c>
      <c r="L20" s="19">
        <v>4</v>
      </c>
      <c r="M20" s="46">
        <v>25.73</v>
      </c>
      <c r="N20" s="42">
        <v>10.98</v>
      </c>
      <c r="O20" s="9">
        <v>14.75</v>
      </c>
      <c r="P20" s="9">
        <v>1</v>
      </c>
      <c r="Q20" s="19">
        <v>3</v>
      </c>
      <c r="R20" s="46">
        <v>16.309999999999999</v>
      </c>
      <c r="S20" s="42">
        <v>3.77</v>
      </c>
      <c r="T20" s="9">
        <v>12.54</v>
      </c>
      <c r="U20" s="9">
        <v>1</v>
      </c>
      <c r="V20" s="19">
        <v>3</v>
      </c>
      <c r="W20" s="46">
        <v>23.17</v>
      </c>
      <c r="X20" s="42">
        <v>7.03</v>
      </c>
      <c r="Y20" s="9">
        <v>16.14</v>
      </c>
      <c r="Z20" s="9">
        <v>1</v>
      </c>
      <c r="AA20" s="19">
        <v>4</v>
      </c>
    </row>
    <row r="21" spans="1:357" x14ac:dyDescent="0.25">
      <c r="A21" s="4">
        <v>10</v>
      </c>
      <c r="B21" s="22">
        <v>1</v>
      </c>
      <c r="C21" s="38"/>
      <c r="D21" s="44"/>
      <c r="E21" s="11"/>
      <c r="F21" s="11"/>
      <c r="G21" s="16"/>
      <c r="H21" s="47"/>
      <c r="I21" s="44"/>
      <c r="J21" s="11"/>
      <c r="K21" s="11"/>
      <c r="L21" s="16"/>
      <c r="M21" s="47"/>
      <c r="N21" s="44"/>
      <c r="O21" s="11"/>
      <c r="P21" s="11"/>
      <c r="Q21" s="16"/>
      <c r="R21" s="47"/>
      <c r="S21" s="44"/>
      <c r="T21" s="11"/>
      <c r="U21" s="11"/>
      <c r="V21" s="16"/>
      <c r="W21" s="47"/>
      <c r="X21" s="44"/>
      <c r="Y21" s="11"/>
      <c r="Z21" s="11"/>
      <c r="AA21" s="16"/>
    </row>
    <row r="22" spans="1:357" ht="15.75" thickBot="1" x14ac:dyDescent="0.3">
      <c r="A22" s="24"/>
      <c r="B22" s="25">
        <v>1.9523809523809501</v>
      </c>
      <c r="C22" s="39"/>
      <c r="D22" s="45"/>
      <c r="E22" s="28"/>
      <c r="F22" s="28"/>
      <c r="G22" s="30"/>
      <c r="H22" s="48"/>
      <c r="I22" s="45"/>
      <c r="J22" s="28"/>
      <c r="K22" s="28"/>
      <c r="L22" s="30"/>
      <c r="M22" s="48"/>
      <c r="N22" s="45"/>
      <c r="O22" s="28"/>
      <c r="P22" s="28"/>
      <c r="Q22" s="30"/>
      <c r="R22" s="48"/>
      <c r="S22" s="45"/>
      <c r="T22" s="28"/>
      <c r="U22" s="28"/>
      <c r="V22" s="30"/>
      <c r="W22" s="48"/>
      <c r="X22" s="45"/>
      <c r="Y22" s="28"/>
      <c r="Z22" s="28"/>
      <c r="AA22" s="30"/>
    </row>
    <row r="23" spans="1:357" x14ac:dyDescent="0.25">
      <c r="A23" s="4">
        <v>11</v>
      </c>
      <c r="B23" s="22">
        <v>1</v>
      </c>
      <c r="C23" s="36"/>
      <c r="D23" s="42"/>
      <c r="E23" s="9"/>
      <c r="F23" s="9"/>
      <c r="G23" s="19"/>
      <c r="H23" s="46"/>
      <c r="I23" s="42"/>
      <c r="J23" s="9"/>
      <c r="K23" s="9"/>
      <c r="L23" s="19"/>
      <c r="M23" s="46"/>
      <c r="N23" s="42"/>
      <c r="O23" s="9"/>
      <c r="P23" s="9"/>
      <c r="Q23" s="19"/>
      <c r="R23" s="46"/>
      <c r="S23" s="42"/>
      <c r="T23" s="9"/>
      <c r="U23" s="9"/>
      <c r="V23" s="19"/>
      <c r="W23" s="46"/>
      <c r="X23" s="42"/>
      <c r="Y23" s="9"/>
      <c r="Z23" s="9"/>
      <c r="AA23" s="19"/>
    </row>
    <row r="24" spans="1:357" ht="15.75" thickBot="1" x14ac:dyDescent="0.3">
      <c r="A24" s="24"/>
      <c r="B24" s="25">
        <v>2.0476190476190501</v>
      </c>
      <c r="C24" s="36"/>
      <c r="D24" s="42"/>
      <c r="E24" s="10"/>
      <c r="F24" s="9"/>
      <c r="G24" s="19"/>
      <c r="H24" s="46"/>
      <c r="I24" s="42"/>
      <c r="J24" s="9"/>
      <c r="K24" s="9"/>
      <c r="L24" s="19"/>
      <c r="M24" s="46"/>
      <c r="N24" s="42"/>
      <c r="O24" s="9"/>
      <c r="P24" s="9"/>
      <c r="Q24" s="19"/>
      <c r="R24" s="46"/>
      <c r="S24" s="42"/>
      <c r="T24" s="9"/>
      <c r="U24" s="9"/>
      <c r="V24" s="19"/>
      <c r="W24" s="46"/>
      <c r="X24" s="42"/>
      <c r="Y24" s="9"/>
      <c r="Z24" s="9"/>
      <c r="AA24" s="19"/>
    </row>
    <row r="25" spans="1:357" x14ac:dyDescent="0.25">
      <c r="A25" s="4">
        <v>12</v>
      </c>
      <c r="B25" s="22">
        <v>1</v>
      </c>
      <c r="C25" s="38"/>
      <c r="D25" s="44"/>
      <c r="E25" s="11"/>
      <c r="F25" s="11"/>
      <c r="G25" s="16"/>
      <c r="H25" s="47"/>
      <c r="I25" s="44"/>
      <c r="J25" s="11"/>
      <c r="K25" s="11"/>
      <c r="L25" s="16"/>
      <c r="M25" s="47"/>
      <c r="N25" s="44"/>
      <c r="O25" s="11"/>
      <c r="P25" s="11"/>
      <c r="Q25" s="16"/>
      <c r="R25" s="47"/>
      <c r="S25" s="44"/>
      <c r="T25" s="11"/>
      <c r="U25" s="11"/>
      <c r="V25" s="16"/>
      <c r="W25" s="47"/>
      <c r="X25" s="44"/>
      <c r="Y25" s="11"/>
      <c r="Z25" s="11"/>
      <c r="AA25" s="16"/>
    </row>
    <row r="26" spans="1:357" ht="15.75" thickBot="1" x14ac:dyDescent="0.3">
      <c r="A26" s="24"/>
      <c r="B26" s="25">
        <v>2</v>
      </c>
      <c r="C26" s="39"/>
      <c r="D26" s="45"/>
      <c r="E26" s="28"/>
      <c r="F26" s="28"/>
      <c r="G26" s="30"/>
      <c r="H26" s="48"/>
      <c r="I26" s="45"/>
      <c r="J26" s="28"/>
      <c r="K26" s="28"/>
      <c r="L26" s="30"/>
      <c r="M26" s="48"/>
      <c r="N26" s="45"/>
      <c r="O26" s="28"/>
      <c r="P26" s="28"/>
      <c r="Q26" s="30"/>
      <c r="R26" s="48"/>
      <c r="S26" s="45"/>
      <c r="T26" s="28"/>
      <c r="U26" s="28"/>
      <c r="V26" s="30"/>
      <c r="W26" s="48"/>
      <c r="X26" s="45"/>
      <c r="Y26" s="28"/>
      <c r="Z26" s="28"/>
      <c r="AA26" s="30"/>
    </row>
    <row r="27" spans="1:357" x14ac:dyDescent="0.25">
      <c r="A27" s="4">
        <v>13</v>
      </c>
      <c r="B27" s="22">
        <v>1</v>
      </c>
      <c r="C27" s="36"/>
      <c r="D27" s="42"/>
      <c r="E27" s="9"/>
      <c r="F27" s="9"/>
      <c r="G27" s="19"/>
      <c r="H27" s="46"/>
      <c r="I27" s="42"/>
      <c r="J27" s="9"/>
      <c r="K27" s="9"/>
      <c r="L27" s="19"/>
      <c r="M27" s="46"/>
      <c r="N27" s="42"/>
      <c r="O27" s="9"/>
      <c r="P27" s="9"/>
      <c r="Q27" s="19"/>
      <c r="R27" s="46"/>
      <c r="S27" s="42"/>
      <c r="T27" s="9"/>
      <c r="U27" s="9"/>
      <c r="V27" s="19"/>
      <c r="W27" s="46"/>
      <c r="X27" s="42"/>
      <c r="Y27" s="9"/>
      <c r="Z27" s="9"/>
      <c r="AA27" s="19"/>
    </row>
    <row r="28" spans="1:357" ht="15.75" thickBot="1" x14ac:dyDescent="0.3">
      <c r="A28" s="24"/>
      <c r="B28" s="25">
        <v>2</v>
      </c>
      <c r="C28" s="36"/>
      <c r="D28" s="42"/>
      <c r="E28" s="10"/>
      <c r="F28" s="9"/>
      <c r="G28" s="19"/>
      <c r="H28" s="46"/>
      <c r="I28" s="42"/>
      <c r="J28" s="9"/>
      <c r="K28" s="9"/>
      <c r="L28" s="19"/>
      <c r="M28" s="46"/>
      <c r="N28" s="42"/>
      <c r="O28" s="9"/>
      <c r="P28" s="9"/>
      <c r="Q28" s="19"/>
      <c r="R28" s="46"/>
      <c r="S28" s="42"/>
      <c r="T28" s="9"/>
      <c r="U28" s="9"/>
      <c r="V28" s="19"/>
      <c r="W28" s="46"/>
      <c r="X28" s="42"/>
      <c r="Y28" s="9"/>
      <c r="Z28" s="9"/>
      <c r="AA28" s="19"/>
    </row>
    <row r="29" spans="1:357" x14ac:dyDescent="0.25">
      <c r="A29" s="4">
        <v>14</v>
      </c>
      <c r="B29" s="22">
        <v>1</v>
      </c>
      <c r="C29" s="38"/>
      <c r="D29" s="44"/>
      <c r="E29" s="11"/>
      <c r="F29" s="11"/>
      <c r="G29" s="16"/>
      <c r="H29" s="47"/>
      <c r="I29" s="44"/>
      <c r="J29" s="11"/>
      <c r="K29" s="11"/>
      <c r="L29" s="16"/>
      <c r="M29" s="47"/>
      <c r="N29" s="44"/>
      <c r="O29" s="11"/>
      <c r="P29" s="11"/>
      <c r="Q29" s="16"/>
      <c r="R29" s="47"/>
      <c r="S29" s="44"/>
      <c r="T29" s="11"/>
      <c r="U29" s="11"/>
      <c r="V29" s="16"/>
      <c r="W29" s="47"/>
      <c r="X29" s="44"/>
      <c r="Y29" s="11"/>
      <c r="Z29" s="11"/>
      <c r="AA29" s="16"/>
    </row>
    <row r="30" spans="1:357" ht="15.75" thickBot="1" x14ac:dyDescent="0.3">
      <c r="A30" s="24"/>
      <c r="B30" s="25">
        <v>2</v>
      </c>
      <c r="C30" s="39"/>
      <c r="D30" s="45"/>
      <c r="E30" s="28"/>
      <c r="F30" s="28"/>
      <c r="G30" s="30"/>
      <c r="H30" s="48"/>
      <c r="I30" s="45"/>
      <c r="J30" s="28"/>
      <c r="K30" s="28"/>
      <c r="L30" s="30"/>
      <c r="M30" s="48"/>
      <c r="N30" s="45"/>
      <c r="O30" s="28"/>
      <c r="P30" s="28"/>
      <c r="Q30" s="30"/>
      <c r="R30" s="48"/>
      <c r="S30" s="45"/>
      <c r="T30" s="28"/>
      <c r="U30" s="28"/>
      <c r="V30" s="30"/>
      <c r="W30" s="48"/>
      <c r="X30" s="45"/>
      <c r="Y30" s="28"/>
      <c r="Z30" s="28"/>
      <c r="AA30" s="30"/>
    </row>
    <row r="31" spans="1:357" x14ac:dyDescent="0.25">
      <c r="A31" s="4">
        <v>15</v>
      </c>
      <c r="B31" s="22">
        <v>1</v>
      </c>
      <c r="C31" s="36"/>
      <c r="D31" s="42"/>
      <c r="E31" s="9"/>
      <c r="F31" s="9"/>
      <c r="G31" s="19"/>
      <c r="H31" s="46"/>
      <c r="I31" s="42"/>
      <c r="J31" s="9"/>
      <c r="K31" s="9"/>
      <c r="L31" s="19"/>
      <c r="M31" s="46"/>
      <c r="N31" s="42"/>
      <c r="O31" s="9"/>
      <c r="P31" s="9"/>
      <c r="Q31" s="19"/>
      <c r="R31" s="46"/>
      <c r="S31" s="42"/>
      <c r="T31" s="9"/>
      <c r="U31" s="9"/>
      <c r="V31" s="19"/>
      <c r="W31" s="46"/>
      <c r="X31" s="42"/>
      <c r="Y31" s="9"/>
      <c r="Z31" s="9"/>
      <c r="AA31" s="19"/>
    </row>
    <row r="32" spans="1:357" ht="15.75" thickBot="1" x14ac:dyDescent="0.3">
      <c r="A32" s="24"/>
      <c r="B32" s="25">
        <v>2</v>
      </c>
      <c r="C32" s="36"/>
      <c r="D32" s="42"/>
      <c r="E32" s="10"/>
      <c r="F32" s="9"/>
      <c r="G32" s="19"/>
      <c r="H32" s="46"/>
      <c r="I32" s="42"/>
      <c r="J32" s="9"/>
      <c r="K32" s="9"/>
      <c r="L32" s="19"/>
      <c r="M32" s="46"/>
      <c r="N32" s="42"/>
      <c r="O32" s="9"/>
      <c r="P32" s="9"/>
      <c r="Q32" s="19"/>
      <c r="R32" s="46"/>
      <c r="S32" s="42"/>
      <c r="T32" s="9"/>
      <c r="U32" s="9"/>
      <c r="V32" s="19"/>
      <c r="W32" s="46"/>
      <c r="X32" s="42"/>
      <c r="Y32" s="9"/>
      <c r="Z32" s="9"/>
      <c r="AA32" s="19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42577-9A99-45C7-9E52-F1BB7DCF5647}">
  <sheetPr codeName="Arkusz5"/>
  <dimension ref="A1:EW32"/>
  <sheetViews>
    <sheetView workbookViewId="0">
      <selection sqref="A1:AA18"/>
    </sheetView>
  </sheetViews>
  <sheetFormatPr defaultRowHeight="15" x14ac:dyDescent="0.25"/>
  <cols>
    <col min="1" max="1" width="4.5703125" customWidth="1"/>
    <col min="2" max="2" width="4.42578125" customWidth="1"/>
    <col min="3" max="3" width="9.140625" style="41"/>
    <col min="4" max="4" width="10.85546875" style="41" customWidth="1"/>
    <col min="5" max="5" width="8.28515625" customWidth="1"/>
    <col min="6" max="6" width="5.140625" customWidth="1"/>
    <col min="7" max="7" width="5.28515625" customWidth="1"/>
    <col min="8" max="9" width="9.140625" style="41"/>
    <col min="10" max="10" width="8.140625" customWidth="1"/>
    <col min="11" max="11" width="6" customWidth="1"/>
    <col min="12" max="12" width="5.7109375" customWidth="1"/>
    <col min="13" max="14" width="9.140625" style="41"/>
    <col min="15" max="15" width="8.140625" customWidth="1"/>
    <col min="16" max="16" width="5.5703125" customWidth="1"/>
    <col min="17" max="17" width="5.85546875" customWidth="1"/>
    <col min="18" max="19" width="9.140625" style="41"/>
    <col min="20" max="20" width="7.28515625" customWidth="1"/>
    <col min="21" max="21" width="5.42578125" customWidth="1"/>
    <col min="22" max="22" width="5.28515625" customWidth="1"/>
    <col min="23" max="24" width="9.140625" style="41"/>
    <col min="25" max="25" width="8.5703125" customWidth="1"/>
    <col min="26" max="26" width="5.140625" customWidth="1"/>
    <col min="27" max="27" width="5.42578125" customWidth="1"/>
  </cols>
  <sheetData>
    <row r="1" spans="1:153" s="2" customFormat="1" x14ac:dyDescent="0.25">
      <c r="A1" s="5"/>
      <c r="B1" s="21"/>
      <c r="C1" s="6"/>
      <c r="D1" s="7"/>
      <c r="E1" s="7" t="s">
        <v>3</v>
      </c>
      <c r="F1" s="7"/>
      <c r="G1" s="17"/>
      <c r="H1" s="8"/>
      <c r="I1" s="8"/>
      <c r="J1" s="8" t="s">
        <v>4</v>
      </c>
      <c r="K1" s="8"/>
      <c r="L1" s="14"/>
      <c r="M1" s="7"/>
      <c r="N1" s="7"/>
      <c r="O1" s="7" t="s">
        <v>5</v>
      </c>
      <c r="P1" s="7"/>
      <c r="Q1" s="17"/>
      <c r="R1" s="8"/>
      <c r="S1" s="8"/>
      <c r="T1" s="8" t="s">
        <v>6</v>
      </c>
      <c r="U1" s="8"/>
      <c r="V1" s="14"/>
      <c r="W1" s="7"/>
      <c r="X1" s="7"/>
      <c r="Y1" s="7" t="s">
        <v>35</v>
      </c>
      <c r="Z1" s="7"/>
      <c r="AA1" s="20"/>
    </row>
    <row r="2" spans="1:153" s="3" customFormat="1" ht="15.75" thickBot="1" x14ac:dyDescent="0.3">
      <c r="A2" s="12" t="s">
        <v>1</v>
      </c>
      <c r="B2" s="18" t="s">
        <v>2</v>
      </c>
      <c r="C2" s="12" t="s">
        <v>7</v>
      </c>
      <c r="D2" s="12" t="s">
        <v>8</v>
      </c>
      <c r="E2" s="12" t="s">
        <v>36</v>
      </c>
      <c r="F2" s="12" t="s">
        <v>10</v>
      </c>
      <c r="G2" s="18" t="s">
        <v>9</v>
      </c>
      <c r="H2" s="13" t="s">
        <v>7</v>
      </c>
      <c r="I2" s="13" t="s">
        <v>8</v>
      </c>
      <c r="J2" s="13" t="s">
        <v>36</v>
      </c>
      <c r="K2" s="13" t="s">
        <v>10</v>
      </c>
      <c r="L2" s="15" t="s">
        <v>9</v>
      </c>
      <c r="M2" s="12" t="s">
        <v>7</v>
      </c>
      <c r="N2" s="12" t="s">
        <v>8</v>
      </c>
      <c r="O2" s="12" t="s">
        <v>36</v>
      </c>
      <c r="P2" s="12" t="s">
        <v>10</v>
      </c>
      <c r="Q2" s="18" t="s">
        <v>9</v>
      </c>
      <c r="R2" s="13" t="s">
        <v>7</v>
      </c>
      <c r="S2" s="13" t="s">
        <v>8</v>
      </c>
      <c r="T2" s="13" t="s">
        <v>36</v>
      </c>
      <c r="U2" s="13" t="s">
        <v>10</v>
      </c>
      <c r="V2" s="15" t="s">
        <v>9</v>
      </c>
      <c r="W2" s="12" t="s">
        <v>7</v>
      </c>
      <c r="X2" s="12" t="s">
        <v>8</v>
      </c>
      <c r="Y2" s="12" t="s">
        <v>36</v>
      </c>
      <c r="Z2" s="12" t="s">
        <v>10</v>
      </c>
      <c r="AA2" s="18" t="s">
        <v>9</v>
      </c>
    </row>
    <row r="3" spans="1:153" ht="18" customHeight="1" thickTop="1" x14ac:dyDescent="0.25">
      <c r="A3" s="4">
        <v>1</v>
      </c>
      <c r="B3" s="22">
        <v>1</v>
      </c>
      <c r="C3" s="36">
        <v>13.49</v>
      </c>
      <c r="D3" s="42">
        <v>2.76</v>
      </c>
      <c r="E3" s="10">
        <v>10.73</v>
      </c>
      <c r="F3" s="9">
        <v>1</v>
      </c>
      <c r="G3" s="19">
        <v>4</v>
      </c>
      <c r="H3" s="46">
        <v>17.399999999999999</v>
      </c>
      <c r="I3" s="42">
        <v>12.2</v>
      </c>
      <c r="J3" s="9">
        <v>5.1999999999999993</v>
      </c>
      <c r="K3" s="9">
        <v>5</v>
      </c>
      <c r="L3" s="19">
        <v>8</v>
      </c>
      <c r="M3" s="46">
        <v>33.28</v>
      </c>
      <c r="N3" s="42">
        <v>9.83</v>
      </c>
      <c r="O3" s="9">
        <v>23.450000000000003</v>
      </c>
      <c r="P3" s="9">
        <v>1</v>
      </c>
      <c r="Q3" s="19">
        <v>4</v>
      </c>
      <c r="R3" s="46">
        <v>15.12</v>
      </c>
      <c r="S3" s="42">
        <v>3.72</v>
      </c>
      <c r="T3" s="9">
        <v>11.399999999999999</v>
      </c>
      <c r="U3" s="9">
        <v>1</v>
      </c>
      <c r="V3" s="19">
        <v>4</v>
      </c>
      <c r="W3" s="46">
        <v>30.57</v>
      </c>
      <c r="X3" s="42">
        <v>11.25</v>
      </c>
      <c r="Y3" s="9">
        <v>19.32</v>
      </c>
      <c r="Z3" s="9">
        <v>5</v>
      </c>
      <c r="AA3" s="19">
        <v>10</v>
      </c>
      <c r="AB3" s="1"/>
      <c r="BA3" s="1"/>
      <c r="BC3" s="1"/>
      <c r="BZ3" s="1"/>
      <c r="CY3" s="1"/>
      <c r="DA3" s="1"/>
      <c r="DX3" s="1"/>
      <c r="EW3" s="1" t="s">
        <v>0</v>
      </c>
    </row>
    <row r="4" spans="1:153" ht="16.5" customHeight="1" thickBot="1" x14ac:dyDescent="0.3">
      <c r="A4" s="24"/>
      <c r="B4" s="25">
        <v>2</v>
      </c>
      <c r="C4" s="37">
        <v>7.98</v>
      </c>
      <c r="D4" s="43">
        <v>2.78</v>
      </c>
      <c r="E4" s="26">
        <v>5.2000000000000011</v>
      </c>
      <c r="F4" s="26">
        <v>1</v>
      </c>
      <c r="G4" s="27">
        <v>7</v>
      </c>
      <c r="H4" s="37">
        <v>11.83</v>
      </c>
      <c r="I4" s="43">
        <v>5.94</v>
      </c>
      <c r="J4" s="26">
        <v>5.89</v>
      </c>
      <c r="K4" s="26">
        <v>3</v>
      </c>
      <c r="L4" s="27">
        <v>8</v>
      </c>
      <c r="M4" s="37">
        <v>15.87</v>
      </c>
      <c r="N4" s="43">
        <v>11.04</v>
      </c>
      <c r="O4" s="26">
        <v>4.83</v>
      </c>
      <c r="P4" s="26">
        <v>1</v>
      </c>
      <c r="Q4" s="27">
        <v>4</v>
      </c>
      <c r="R4" s="37">
        <v>10.220000000000001</v>
      </c>
      <c r="S4" s="43">
        <v>3.76</v>
      </c>
      <c r="T4" s="26">
        <v>6.4600000000000009</v>
      </c>
      <c r="U4" s="26">
        <v>1</v>
      </c>
      <c r="V4" s="27">
        <v>4</v>
      </c>
      <c r="W4" s="37">
        <v>12.98</v>
      </c>
      <c r="X4" s="43">
        <v>7.03</v>
      </c>
      <c r="Y4" s="26">
        <v>5.95</v>
      </c>
      <c r="Z4" s="26">
        <v>2</v>
      </c>
      <c r="AA4" s="27">
        <v>5</v>
      </c>
      <c r="AB4" s="1"/>
    </row>
    <row r="5" spans="1:153" ht="16.5" customHeight="1" x14ac:dyDescent="0.25">
      <c r="A5" s="4">
        <v>2</v>
      </c>
      <c r="B5" s="22">
        <v>1</v>
      </c>
      <c r="C5" s="38">
        <v>13.49</v>
      </c>
      <c r="D5" s="44">
        <v>2.76</v>
      </c>
      <c r="E5" s="23">
        <v>10.73</v>
      </c>
      <c r="F5" s="11">
        <v>1</v>
      </c>
      <c r="G5" s="16">
        <v>4</v>
      </c>
      <c r="H5" s="47">
        <v>17.399999999999999</v>
      </c>
      <c r="I5" s="44">
        <v>12.2</v>
      </c>
      <c r="J5" s="11">
        <v>5.1999999999999993</v>
      </c>
      <c r="K5" s="11">
        <v>5</v>
      </c>
      <c r="L5" s="16">
        <v>8</v>
      </c>
      <c r="M5" s="47">
        <v>33.28</v>
      </c>
      <c r="N5" s="44">
        <v>9.83</v>
      </c>
      <c r="O5" s="11">
        <v>23.450000000000003</v>
      </c>
      <c r="P5" s="11">
        <v>1</v>
      </c>
      <c r="Q5" s="16">
        <v>4</v>
      </c>
      <c r="R5" s="47">
        <v>15.12</v>
      </c>
      <c r="S5" s="44">
        <v>3.72</v>
      </c>
      <c r="T5" s="11">
        <v>11.399999999999999</v>
      </c>
      <c r="U5" s="11">
        <v>1</v>
      </c>
      <c r="V5" s="16">
        <v>4</v>
      </c>
      <c r="W5" s="47">
        <v>30.57</v>
      </c>
      <c r="X5" s="44">
        <v>11.25</v>
      </c>
      <c r="Y5" s="11">
        <v>19.32</v>
      </c>
      <c r="Z5" s="11">
        <v>5</v>
      </c>
      <c r="AA5" s="16">
        <v>10</v>
      </c>
      <c r="AB5" s="1"/>
    </row>
    <row r="6" spans="1:153" ht="15.75" thickBot="1" x14ac:dyDescent="0.3">
      <c r="A6" s="24"/>
      <c r="B6" s="25">
        <v>2</v>
      </c>
      <c r="C6" s="39">
        <v>7.98</v>
      </c>
      <c r="D6" s="45">
        <v>2.78</v>
      </c>
      <c r="E6" s="29">
        <v>5.2000000000000011</v>
      </c>
      <c r="F6" s="28">
        <v>1</v>
      </c>
      <c r="G6" s="30">
        <v>7</v>
      </c>
      <c r="H6" s="48">
        <v>11.83</v>
      </c>
      <c r="I6" s="45">
        <v>5.94</v>
      </c>
      <c r="J6" s="28">
        <v>5.89</v>
      </c>
      <c r="K6" s="28">
        <v>3</v>
      </c>
      <c r="L6" s="30">
        <v>8</v>
      </c>
      <c r="M6" s="48">
        <v>15.87</v>
      </c>
      <c r="N6" s="45">
        <v>11.04</v>
      </c>
      <c r="O6" s="28">
        <v>4.83</v>
      </c>
      <c r="P6" s="28">
        <v>1</v>
      </c>
      <c r="Q6" s="30">
        <v>4</v>
      </c>
      <c r="R6" s="48">
        <v>10.220000000000001</v>
      </c>
      <c r="S6" s="45">
        <v>3.76</v>
      </c>
      <c r="T6" s="28">
        <v>6.4600000000000009</v>
      </c>
      <c r="U6" s="28">
        <v>1</v>
      </c>
      <c r="V6" s="30">
        <v>4</v>
      </c>
      <c r="W6" s="48">
        <v>12.98</v>
      </c>
      <c r="X6" s="45">
        <v>7.03</v>
      </c>
      <c r="Y6" s="28">
        <v>5.95</v>
      </c>
      <c r="Z6" s="28">
        <v>2</v>
      </c>
      <c r="AA6" s="30">
        <v>5</v>
      </c>
      <c r="AB6" s="1"/>
    </row>
    <row r="7" spans="1:153" ht="13.5" customHeight="1" x14ac:dyDescent="0.25">
      <c r="A7" s="4">
        <v>3</v>
      </c>
      <c r="B7" s="22">
        <v>1</v>
      </c>
      <c r="C7" s="36">
        <v>21.6</v>
      </c>
      <c r="D7" s="42">
        <v>2.77</v>
      </c>
      <c r="E7" s="9">
        <v>18.830000000000002</v>
      </c>
      <c r="F7" s="9">
        <v>5</v>
      </c>
      <c r="G7" s="19">
        <v>15</v>
      </c>
      <c r="H7" s="46">
        <v>22.26</v>
      </c>
      <c r="I7" s="42">
        <v>12.3</v>
      </c>
      <c r="J7" s="9">
        <v>9.9600000000000009</v>
      </c>
      <c r="K7" s="9">
        <v>7</v>
      </c>
      <c r="L7" s="19">
        <v>16</v>
      </c>
      <c r="M7" s="46">
        <v>32.32</v>
      </c>
      <c r="N7" s="42">
        <v>11.08</v>
      </c>
      <c r="O7" s="9">
        <v>21.240000000000002</v>
      </c>
      <c r="P7" s="9">
        <v>5</v>
      </c>
      <c r="Q7" s="19">
        <v>11</v>
      </c>
      <c r="R7" s="46">
        <v>23.16</v>
      </c>
      <c r="S7" s="42">
        <v>9.57</v>
      </c>
      <c r="T7" s="9">
        <v>13.59</v>
      </c>
      <c r="U7" s="9">
        <v>4</v>
      </c>
      <c r="V7" s="19">
        <v>13</v>
      </c>
      <c r="W7" s="46">
        <v>27.34</v>
      </c>
      <c r="X7" s="42">
        <v>15.65</v>
      </c>
      <c r="Y7" s="9">
        <v>11.69</v>
      </c>
      <c r="Z7" s="9">
        <v>7</v>
      </c>
      <c r="AA7" s="19">
        <v>10</v>
      </c>
      <c r="AB7" s="1"/>
    </row>
    <row r="8" spans="1:153" ht="16.5" customHeight="1" thickBot="1" x14ac:dyDescent="0.3">
      <c r="A8" s="24"/>
      <c r="B8" s="25">
        <v>2</v>
      </c>
      <c r="C8" s="40">
        <v>12.26</v>
      </c>
      <c r="D8" s="43">
        <v>2.77</v>
      </c>
      <c r="E8" s="26">
        <v>9.49</v>
      </c>
      <c r="F8" s="26">
        <v>3</v>
      </c>
      <c r="G8" s="27">
        <v>9</v>
      </c>
      <c r="H8" s="37">
        <v>22.4</v>
      </c>
      <c r="I8" s="43">
        <v>16.59</v>
      </c>
      <c r="J8" s="26">
        <v>5.8099999999999987</v>
      </c>
      <c r="K8" s="26">
        <v>9</v>
      </c>
      <c r="L8" s="27">
        <v>15</v>
      </c>
      <c r="M8" s="37">
        <v>19.22</v>
      </c>
      <c r="N8" s="43">
        <v>11.06</v>
      </c>
      <c r="O8" s="26">
        <v>8.1599999999999984</v>
      </c>
      <c r="P8" s="26">
        <v>1</v>
      </c>
      <c r="Q8" s="27">
        <v>7</v>
      </c>
      <c r="R8" s="37">
        <v>19.68</v>
      </c>
      <c r="S8" s="43">
        <v>3.76</v>
      </c>
      <c r="T8" s="26">
        <v>15.92</v>
      </c>
      <c r="U8" s="26">
        <v>1</v>
      </c>
      <c r="V8" s="27">
        <v>11</v>
      </c>
      <c r="W8" s="37">
        <v>27.44</v>
      </c>
      <c r="X8" s="43">
        <v>7.02</v>
      </c>
      <c r="Y8" s="26">
        <v>20.420000000000002</v>
      </c>
      <c r="Z8" s="26">
        <v>6</v>
      </c>
      <c r="AA8" s="27">
        <v>12</v>
      </c>
      <c r="AB8" s="1"/>
    </row>
    <row r="9" spans="1:153" x14ac:dyDescent="0.25">
      <c r="A9" s="4">
        <v>4</v>
      </c>
      <c r="B9" s="22">
        <v>1</v>
      </c>
      <c r="C9" s="38">
        <v>26.69</v>
      </c>
      <c r="D9" s="44">
        <v>2.77</v>
      </c>
      <c r="E9" s="11">
        <v>23.92</v>
      </c>
      <c r="F9" s="11">
        <v>5</v>
      </c>
      <c r="G9" s="16">
        <v>15</v>
      </c>
      <c r="H9" s="47">
        <v>33.659999999999997</v>
      </c>
      <c r="I9" s="44">
        <v>10.220000000000001</v>
      </c>
      <c r="J9" s="11">
        <v>23.439999999999998</v>
      </c>
      <c r="K9" s="11">
        <v>6</v>
      </c>
      <c r="L9" s="16">
        <v>18</v>
      </c>
      <c r="M9" s="47">
        <v>29.89</v>
      </c>
      <c r="N9" s="44">
        <v>19.079999999999998</v>
      </c>
      <c r="O9" s="11">
        <v>10.810000000000002</v>
      </c>
      <c r="P9" s="11">
        <v>3</v>
      </c>
      <c r="Q9" s="16">
        <v>18</v>
      </c>
      <c r="R9" s="47">
        <v>23.68</v>
      </c>
      <c r="S9" s="44">
        <v>3.76</v>
      </c>
      <c r="T9" s="11">
        <v>19.920000000000002</v>
      </c>
      <c r="U9" s="11">
        <v>1</v>
      </c>
      <c r="V9" s="16">
        <v>12</v>
      </c>
      <c r="W9" s="47">
        <v>30.77</v>
      </c>
      <c r="X9" s="44">
        <v>16.89</v>
      </c>
      <c r="Y9" s="11">
        <v>13.879999999999999</v>
      </c>
      <c r="Z9" s="11">
        <v>11</v>
      </c>
      <c r="AA9" s="16">
        <v>17</v>
      </c>
    </row>
    <row r="10" spans="1:153" ht="15.75" thickBot="1" x14ac:dyDescent="0.3">
      <c r="A10" s="24"/>
      <c r="B10" s="25">
        <v>2</v>
      </c>
      <c r="C10" s="39">
        <v>9</v>
      </c>
      <c r="D10" s="45">
        <v>2.78</v>
      </c>
      <c r="E10" s="28">
        <v>6.2200000000000006</v>
      </c>
      <c r="F10" s="28">
        <v>1</v>
      </c>
      <c r="G10" s="30">
        <v>8</v>
      </c>
      <c r="H10" s="48">
        <v>14.04</v>
      </c>
      <c r="I10" s="45">
        <v>6</v>
      </c>
      <c r="J10" s="28">
        <v>8.0399999999999991</v>
      </c>
      <c r="K10" s="28">
        <v>3</v>
      </c>
      <c r="L10" s="30">
        <v>7</v>
      </c>
      <c r="M10" s="48">
        <v>19.48</v>
      </c>
      <c r="N10" s="45">
        <v>11.09</v>
      </c>
      <c r="O10" s="28">
        <v>8.39</v>
      </c>
      <c r="P10" s="28">
        <v>1</v>
      </c>
      <c r="Q10" s="30">
        <v>6</v>
      </c>
      <c r="R10" s="48">
        <v>14.4</v>
      </c>
      <c r="S10" s="45">
        <v>3.75</v>
      </c>
      <c r="T10" s="28">
        <v>10.65</v>
      </c>
      <c r="U10" s="28">
        <v>1</v>
      </c>
      <c r="V10" s="30">
        <v>6</v>
      </c>
      <c r="W10" s="48">
        <v>20.6</v>
      </c>
      <c r="X10" s="45">
        <v>7.03</v>
      </c>
      <c r="Y10" s="28">
        <v>13.57</v>
      </c>
      <c r="Z10" s="28">
        <v>2</v>
      </c>
      <c r="AA10" s="30">
        <v>8</v>
      </c>
      <c r="AB10" s="1"/>
    </row>
    <row r="11" spans="1:153" ht="14.25" customHeight="1" x14ac:dyDescent="0.25">
      <c r="A11" s="4">
        <v>5</v>
      </c>
      <c r="B11" s="22">
        <v>1</v>
      </c>
      <c r="C11" s="36">
        <v>25.19</v>
      </c>
      <c r="D11" s="42">
        <v>2.76</v>
      </c>
      <c r="E11" s="9">
        <v>22.43</v>
      </c>
      <c r="F11" s="9">
        <v>5</v>
      </c>
      <c r="G11" s="19">
        <v>8</v>
      </c>
      <c r="H11" s="46">
        <v>32.89</v>
      </c>
      <c r="I11" s="42">
        <v>5.98</v>
      </c>
      <c r="J11" s="9">
        <v>26.91</v>
      </c>
      <c r="K11" s="9">
        <v>5</v>
      </c>
      <c r="L11" s="19">
        <v>16</v>
      </c>
      <c r="M11" s="46">
        <v>31.14</v>
      </c>
      <c r="N11" s="42">
        <v>11.05</v>
      </c>
      <c r="O11" s="9">
        <v>20.09</v>
      </c>
      <c r="P11" s="9">
        <v>9</v>
      </c>
      <c r="Q11" s="19">
        <v>19</v>
      </c>
      <c r="R11" s="46">
        <v>24.87</v>
      </c>
      <c r="S11" s="42">
        <v>9.6199999999999992</v>
      </c>
      <c r="T11" s="9">
        <v>15.250000000000002</v>
      </c>
      <c r="U11" s="9">
        <v>5</v>
      </c>
      <c r="V11" s="19">
        <v>11</v>
      </c>
      <c r="W11" s="46">
        <v>45.23</v>
      </c>
      <c r="X11" s="42">
        <v>20.61</v>
      </c>
      <c r="Y11" s="9">
        <v>24.619999999999997</v>
      </c>
      <c r="Z11" s="9">
        <v>6</v>
      </c>
      <c r="AA11" s="19">
        <v>11</v>
      </c>
      <c r="AB11" s="1"/>
    </row>
    <row r="12" spans="1:153" ht="15.75" thickBot="1" x14ac:dyDescent="0.3">
      <c r="A12" s="24"/>
      <c r="B12" s="25">
        <v>2</v>
      </c>
      <c r="C12" s="36">
        <v>13.7</v>
      </c>
      <c r="D12" s="42">
        <v>2.76</v>
      </c>
      <c r="E12" s="10">
        <v>10.94</v>
      </c>
      <c r="F12" s="9">
        <v>1</v>
      </c>
      <c r="G12" s="19">
        <v>6</v>
      </c>
      <c r="H12" s="46">
        <v>19.16</v>
      </c>
      <c r="I12" s="42">
        <v>6.01</v>
      </c>
      <c r="J12" s="9">
        <v>13.15</v>
      </c>
      <c r="K12" s="9">
        <v>7</v>
      </c>
      <c r="L12" s="19">
        <v>11</v>
      </c>
      <c r="M12" s="46">
        <v>20.59</v>
      </c>
      <c r="N12" s="42">
        <v>11.1</v>
      </c>
      <c r="O12" s="9">
        <v>9.49</v>
      </c>
      <c r="P12" s="9">
        <v>1</v>
      </c>
      <c r="Q12" s="19">
        <v>5</v>
      </c>
      <c r="R12" s="46">
        <v>12.51</v>
      </c>
      <c r="S12" s="42">
        <v>3.75</v>
      </c>
      <c r="T12" s="9">
        <v>8.76</v>
      </c>
      <c r="U12" s="9">
        <v>3</v>
      </c>
      <c r="V12" s="19">
        <v>6</v>
      </c>
      <c r="W12" s="46">
        <v>20.51</v>
      </c>
      <c r="X12" s="42">
        <v>7.02</v>
      </c>
      <c r="Y12" s="9">
        <v>13.490000000000002</v>
      </c>
      <c r="Z12" s="9">
        <v>4</v>
      </c>
      <c r="AA12" s="19">
        <v>10</v>
      </c>
    </row>
    <row r="13" spans="1:153" x14ac:dyDescent="0.25">
      <c r="A13" s="4">
        <v>6</v>
      </c>
      <c r="B13" s="22">
        <v>1</v>
      </c>
      <c r="C13" s="38">
        <v>24.22</v>
      </c>
      <c r="D13" s="44">
        <v>7.13</v>
      </c>
      <c r="E13" s="11">
        <v>17.09</v>
      </c>
      <c r="F13" s="11">
        <v>7</v>
      </c>
      <c r="G13" s="16">
        <v>14</v>
      </c>
      <c r="H13" s="47">
        <v>30.05</v>
      </c>
      <c r="I13" s="44">
        <v>10.47</v>
      </c>
      <c r="J13" s="11">
        <v>19.579999999999998</v>
      </c>
      <c r="K13" s="11">
        <v>3</v>
      </c>
      <c r="L13" s="16">
        <v>8</v>
      </c>
      <c r="M13" s="47">
        <v>27.17</v>
      </c>
      <c r="N13" s="44">
        <v>11.06</v>
      </c>
      <c r="O13" s="11">
        <v>16.11</v>
      </c>
      <c r="P13" s="11">
        <v>5</v>
      </c>
      <c r="Q13" s="16">
        <v>16</v>
      </c>
      <c r="R13" s="47">
        <v>19.440000000000001</v>
      </c>
      <c r="S13" s="44">
        <v>3.8</v>
      </c>
      <c r="T13" s="11">
        <v>15.64</v>
      </c>
      <c r="U13" s="11">
        <v>2</v>
      </c>
      <c r="V13" s="16">
        <v>5</v>
      </c>
      <c r="W13" s="47">
        <v>24.97</v>
      </c>
      <c r="X13" s="44">
        <v>7.09</v>
      </c>
      <c r="Y13" s="11">
        <v>17.88</v>
      </c>
      <c r="Z13" s="11">
        <v>6</v>
      </c>
      <c r="AA13" s="16">
        <v>11</v>
      </c>
    </row>
    <row r="14" spans="1:153" ht="15.75" thickBot="1" x14ac:dyDescent="0.3">
      <c r="A14" s="24"/>
      <c r="B14" s="25">
        <v>2</v>
      </c>
      <c r="C14" s="39">
        <v>19.23</v>
      </c>
      <c r="D14" s="45">
        <v>2.81</v>
      </c>
      <c r="E14" s="28">
        <v>16.420000000000002</v>
      </c>
      <c r="F14" s="28">
        <v>1</v>
      </c>
      <c r="G14" s="30">
        <v>4</v>
      </c>
      <c r="H14" s="48">
        <v>14.62</v>
      </c>
      <c r="I14" s="45">
        <v>6.04</v>
      </c>
      <c r="J14" s="28">
        <v>8.5799999999999983</v>
      </c>
      <c r="K14" s="28">
        <v>3</v>
      </c>
      <c r="L14" s="30">
        <v>6</v>
      </c>
      <c r="M14" s="48">
        <v>21.35</v>
      </c>
      <c r="N14" s="45">
        <v>11.11</v>
      </c>
      <c r="O14" s="28">
        <v>10.240000000000002</v>
      </c>
      <c r="P14" s="28">
        <v>1</v>
      </c>
      <c r="Q14" s="30">
        <v>5</v>
      </c>
      <c r="R14" s="48">
        <v>25.09</v>
      </c>
      <c r="S14" s="45">
        <v>3.81</v>
      </c>
      <c r="T14" s="28">
        <v>21.28</v>
      </c>
      <c r="U14" s="28">
        <v>1</v>
      </c>
      <c r="V14" s="30">
        <v>5</v>
      </c>
      <c r="W14" s="48">
        <v>44.43</v>
      </c>
      <c r="X14" s="45">
        <v>7.04</v>
      </c>
      <c r="Y14" s="28">
        <v>37.39</v>
      </c>
      <c r="Z14" s="28">
        <v>2</v>
      </c>
      <c r="AA14" s="30">
        <v>5</v>
      </c>
    </row>
    <row r="15" spans="1:153" x14ac:dyDescent="0.25">
      <c r="A15" s="4">
        <v>7</v>
      </c>
      <c r="B15" s="22">
        <v>1</v>
      </c>
      <c r="C15" s="36">
        <v>20.27</v>
      </c>
      <c r="D15" s="42">
        <v>2.78</v>
      </c>
      <c r="E15" s="9">
        <v>17.489999999999998</v>
      </c>
      <c r="F15" s="9">
        <v>3</v>
      </c>
      <c r="G15" s="19">
        <v>10</v>
      </c>
      <c r="H15" s="46">
        <v>23.35</v>
      </c>
      <c r="I15" s="42">
        <v>14.51</v>
      </c>
      <c r="J15" s="9">
        <v>8.8400000000000016</v>
      </c>
      <c r="K15" s="9">
        <v>6</v>
      </c>
      <c r="L15" s="19">
        <v>13</v>
      </c>
      <c r="M15" s="46">
        <v>29.92</v>
      </c>
      <c r="N15" s="42">
        <v>10.99</v>
      </c>
      <c r="O15" s="9">
        <v>18.93</v>
      </c>
      <c r="P15" s="9">
        <v>3</v>
      </c>
      <c r="Q15" s="19">
        <v>8</v>
      </c>
      <c r="R15" s="46">
        <v>17.809999999999999</v>
      </c>
      <c r="S15" s="42">
        <v>3.77</v>
      </c>
      <c r="T15" s="9">
        <v>14.04</v>
      </c>
      <c r="U15" s="9">
        <v>5</v>
      </c>
      <c r="V15" s="19">
        <v>11</v>
      </c>
      <c r="W15" s="46">
        <v>26.94</v>
      </c>
      <c r="X15" s="42">
        <v>11.34</v>
      </c>
      <c r="Y15" s="9">
        <v>15.600000000000001</v>
      </c>
      <c r="Z15" s="9">
        <v>6</v>
      </c>
      <c r="AA15" s="19">
        <v>11</v>
      </c>
    </row>
    <row r="16" spans="1:153" ht="15.75" thickBot="1" x14ac:dyDescent="0.3">
      <c r="A16" s="24"/>
      <c r="B16" s="25">
        <v>2</v>
      </c>
      <c r="C16" s="36">
        <v>12.99</v>
      </c>
      <c r="D16" s="42">
        <v>2.76</v>
      </c>
      <c r="E16" s="10">
        <v>10.23</v>
      </c>
      <c r="F16" s="9">
        <v>3</v>
      </c>
      <c r="G16" s="19">
        <v>7</v>
      </c>
      <c r="H16" s="46">
        <v>22.35</v>
      </c>
      <c r="I16" s="42">
        <v>5.96</v>
      </c>
      <c r="J16" s="9">
        <v>16.39</v>
      </c>
      <c r="K16" s="9">
        <v>9</v>
      </c>
      <c r="L16" s="19">
        <v>12</v>
      </c>
      <c r="M16" s="46">
        <v>27.58</v>
      </c>
      <c r="N16" s="42">
        <v>11.06</v>
      </c>
      <c r="O16" s="9">
        <v>16.519999999999996</v>
      </c>
      <c r="P16" s="9">
        <v>5</v>
      </c>
      <c r="Q16" s="19">
        <v>13</v>
      </c>
      <c r="R16" s="46">
        <v>24.01</v>
      </c>
      <c r="S16" s="42">
        <v>3.79</v>
      </c>
      <c r="T16" s="9">
        <v>20.220000000000002</v>
      </c>
      <c r="U16" s="9">
        <v>3</v>
      </c>
      <c r="V16" s="19">
        <v>8</v>
      </c>
      <c r="W16" s="46">
        <v>18.8</v>
      </c>
      <c r="X16" s="42">
        <v>7.04</v>
      </c>
      <c r="Y16" s="9">
        <v>11.760000000000002</v>
      </c>
      <c r="Z16" s="9">
        <v>2</v>
      </c>
      <c r="AA16" s="19">
        <v>6</v>
      </c>
    </row>
    <row r="17" spans="1:27" x14ac:dyDescent="0.25">
      <c r="A17" s="4">
        <v>8</v>
      </c>
      <c r="B17" s="22">
        <v>1</v>
      </c>
      <c r="C17" s="38">
        <v>22.39</v>
      </c>
      <c r="D17" s="44">
        <v>2.78</v>
      </c>
      <c r="E17" s="11">
        <v>19.61</v>
      </c>
      <c r="F17" s="11">
        <v>1</v>
      </c>
      <c r="G17" s="16">
        <v>9</v>
      </c>
      <c r="H17" s="47">
        <v>25.29</v>
      </c>
      <c r="I17" s="44">
        <v>5.96</v>
      </c>
      <c r="J17" s="11">
        <v>19.329999999999998</v>
      </c>
      <c r="K17" s="11">
        <v>5</v>
      </c>
      <c r="L17" s="16">
        <v>10</v>
      </c>
      <c r="M17" s="47">
        <v>31.14</v>
      </c>
      <c r="N17" s="44">
        <v>11.03</v>
      </c>
      <c r="O17" s="11">
        <v>20.11</v>
      </c>
      <c r="P17" s="11">
        <v>7</v>
      </c>
      <c r="Q17" s="16">
        <v>12</v>
      </c>
      <c r="R17" s="47">
        <v>18.329999999999998</v>
      </c>
      <c r="S17" s="44">
        <v>9.5399999999999991</v>
      </c>
      <c r="T17" s="11">
        <v>8.7899999999999991</v>
      </c>
      <c r="U17" s="11">
        <v>4</v>
      </c>
      <c r="V17" s="16">
        <v>7</v>
      </c>
      <c r="W17" s="47">
        <v>23.28</v>
      </c>
      <c r="X17" s="44">
        <v>7.04</v>
      </c>
      <c r="Y17" s="11">
        <v>16.240000000000002</v>
      </c>
      <c r="Z17" s="11">
        <v>6</v>
      </c>
      <c r="AA17" s="16">
        <v>10</v>
      </c>
    </row>
    <row r="18" spans="1:27" ht="15.75" thickBot="1" x14ac:dyDescent="0.3">
      <c r="A18" s="24"/>
      <c r="B18" s="25">
        <v>2</v>
      </c>
      <c r="C18" s="39">
        <v>12.88</v>
      </c>
      <c r="D18" s="45">
        <v>2.76</v>
      </c>
      <c r="E18" s="28">
        <v>10.120000000000001</v>
      </c>
      <c r="F18" s="28">
        <v>1</v>
      </c>
      <c r="G18" s="30">
        <v>5</v>
      </c>
      <c r="H18" s="48">
        <v>16.649999999999999</v>
      </c>
      <c r="I18" s="45">
        <v>5.94</v>
      </c>
      <c r="J18" s="28">
        <v>10.709999999999997</v>
      </c>
      <c r="K18" s="28">
        <v>3</v>
      </c>
      <c r="L18" s="30">
        <v>6</v>
      </c>
      <c r="M18" s="48">
        <v>21.96</v>
      </c>
      <c r="N18" s="45">
        <v>10.99</v>
      </c>
      <c r="O18" s="28">
        <v>10.97</v>
      </c>
      <c r="P18" s="28">
        <v>1</v>
      </c>
      <c r="Q18" s="30">
        <v>4</v>
      </c>
      <c r="R18" s="48">
        <v>14.53</v>
      </c>
      <c r="S18" s="45">
        <v>3.75</v>
      </c>
      <c r="T18" s="28">
        <v>10.78</v>
      </c>
      <c r="U18" s="28">
        <v>1</v>
      </c>
      <c r="V18" s="30">
        <v>5</v>
      </c>
      <c r="W18" s="48">
        <v>18.690000000000001</v>
      </c>
      <c r="X18" s="45">
        <v>7.04</v>
      </c>
      <c r="Y18" s="28">
        <v>11.650000000000002</v>
      </c>
      <c r="Z18" s="28">
        <v>5</v>
      </c>
      <c r="AA18" s="30">
        <v>8</v>
      </c>
    </row>
    <row r="19" spans="1:27" x14ac:dyDescent="0.25">
      <c r="A19" s="4">
        <v>9</v>
      </c>
      <c r="B19" s="22">
        <v>1</v>
      </c>
      <c r="C19" s="36"/>
      <c r="D19" s="42"/>
      <c r="E19" s="9"/>
      <c r="F19" s="9"/>
      <c r="G19" s="19"/>
      <c r="H19" s="46"/>
      <c r="I19" s="42"/>
      <c r="J19" s="9"/>
      <c r="K19" s="9"/>
      <c r="L19" s="19"/>
      <c r="M19" s="46"/>
      <c r="N19" s="42"/>
      <c r="O19" s="9"/>
      <c r="P19" s="9"/>
      <c r="Q19" s="19"/>
      <c r="R19" s="46"/>
      <c r="S19" s="42"/>
      <c r="T19" s="9"/>
      <c r="U19" s="9"/>
      <c r="V19" s="19"/>
      <c r="W19" s="46"/>
      <c r="X19" s="42"/>
      <c r="Y19" s="9"/>
      <c r="Z19" s="9"/>
      <c r="AA19" s="19"/>
    </row>
    <row r="20" spans="1:27" ht="15.75" thickBot="1" x14ac:dyDescent="0.3">
      <c r="A20" s="24"/>
      <c r="B20" s="25">
        <v>2</v>
      </c>
      <c r="C20" s="36"/>
      <c r="D20" s="42"/>
      <c r="E20" s="10"/>
      <c r="F20" s="9"/>
      <c r="G20" s="19"/>
      <c r="H20" s="46"/>
      <c r="I20" s="42"/>
      <c r="J20" s="9"/>
      <c r="K20" s="9"/>
      <c r="L20" s="19"/>
      <c r="M20" s="46"/>
      <c r="N20" s="42"/>
      <c r="O20" s="9"/>
      <c r="P20" s="9"/>
      <c r="Q20" s="19"/>
      <c r="R20" s="46"/>
      <c r="S20" s="42"/>
      <c r="T20" s="9"/>
      <c r="U20" s="9"/>
      <c r="V20" s="19"/>
      <c r="W20" s="46"/>
      <c r="X20" s="42"/>
      <c r="Y20" s="9"/>
      <c r="Z20" s="9"/>
      <c r="AA20" s="19"/>
    </row>
    <row r="21" spans="1:27" x14ac:dyDescent="0.25">
      <c r="A21" s="4">
        <v>10</v>
      </c>
      <c r="B21" s="22">
        <v>1</v>
      </c>
      <c r="C21" s="38"/>
      <c r="D21" s="44"/>
      <c r="E21" s="11"/>
      <c r="F21" s="11"/>
      <c r="G21" s="16"/>
      <c r="H21" s="47"/>
      <c r="I21" s="44"/>
      <c r="J21" s="11"/>
      <c r="K21" s="11"/>
      <c r="L21" s="16"/>
      <c r="M21" s="47"/>
      <c r="N21" s="44"/>
      <c r="O21" s="11"/>
      <c r="P21" s="11"/>
      <c r="Q21" s="16"/>
      <c r="R21" s="47"/>
      <c r="S21" s="44"/>
      <c r="T21" s="11"/>
      <c r="U21" s="11"/>
      <c r="V21" s="16"/>
      <c r="W21" s="47"/>
      <c r="X21" s="44"/>
      <c r="Y21" s="11"/>
      <c r="Z21" s="11"/>
      <c r="AA21" s="16"/>
    </row>
    <row r="22" spans="1:27" ht="15.75" thickBot="1" x14ac:dyDescent="0.3">
      <c r="A22" s="24"/>
      <c r="B22" s="25">
        <v>1.9523809523809501</v>
      </c>
      <c r="C22" s="39"/>
      <c r="D22" s="45"/>
      <c r="E22" s="28"/>
      <c r="F22" s="28"/>
      <c r="G22" s="30"/>
      <c r="H22" s="48"/>
      <c r="I22" s="45"/>
      <c r="J22" s="28"/>
      <c r="K22" s="28"/>
      <c r="L22" s="30"/>
      <c r="M22" s="48"/>
      <c r="N22" s="45"/>
      <c r="O22" s="28"/>
      <c r="P22" s="28"/>
      <c r="Q22" s="30"/>
      <c r="R22" s="48"/>
      <c r="S22" s="45"/>
      <c r="T22" s="28"/>
      <c r="U22" s="28"/>
      <c r="V22" s="30"/>
      <c r="W22" s="48"/>
      <c r="X22" s="45"/>
      <c r="Y22" s="28"/>
      <c r="Z22" s="28"/>
      <c r="AA22" s="30"/>
    </row>
    <row r="23" spans="1:27" x14ac:dyDescent="0.25">
      <c r="A23" s="4">
        <v>11</v>
      </c>
      <c r="B23" s="22">
        <v>1</v>
      </c>
      <c r="C23" s="36"/>
      <c r="D23" s="42"/>
      <c r="E23" s="9"/>
      <c r="F23" s="9"/>
      <c r="G23" s="19"/>
      <c r="H23" s="46"/>
      <c r="I23" s="42"/>
      <c r="J23" s="9"/>
      <c r="K23" s="9"/>
      <c r="L23" s="19"/>
      <c r="M23" s="46"/>
      <c r="N23" s="42"/>
      <c r="O23" s="9"/>
      <c r="P23" s="9"/>
      <c r="Q23" s="19"/>
      <c r="R23" s="46"/>
      <c r="S23" s="42"/>
      <c r="T23" s="9"/>
      <c r="U23" s="9"/>
      <c r="V23" s="19"/>
      <c r="W23" s="46"/>
      <c r="X23" s="42"/>
      <c r="Y23" s="9"/>
      <c r="Z23" s="9"/>
      <c r="AA23" s="19"/>
    </row>
    <row r="24" spans="1:27" ht="15.75" thickBot="1" x14ac:dyDescent="0.3">
      <c r="A24" s="24"/>
      <c r="B24" s="25">
        <v>2.0476190476190501</v>
      </c>
      <c r="C24" s="36"/>
      <c r="D24" s="42"/>
      <c r="E24" s="10"/>
      <c r="F24" s="9"/>
      <c r="G24" s="19"/>
      <c r="H24" s="46"/>
      <c r="I24" s="42"/>
      <c r="J24" s="9"/>
      <c r="K24" s="9"/>
      <c r="L24" s="19"/>
      <c r="M24" s="46"/>
      <c r="N24" s="42"/>
      <c r="O24" s="9"/>
      <c r="P24" s="9"/>
      <c r="Q24" s="19"/>
      <c r="R24" s="46"/>
      <c r="S24" s="42"/>
      <c r="T24" s="9"/>
      <c r="U24" s="9"/>
      <c r="V24" s="19"/>
      <c r="W24" s="46"/>
      <c r="X24" s="42"/>
      <c r="Y24" s="9"/>
      <c r="Z24" s="9"/>
      <c r="AA24" s="19"/>
    </row>
    <row r="25" spans="1:27" x14ac:dyDescent="0.25">
      <c r="A25" s="4">
        <v>12</v>
      </c>
      <c r="B25" s="22">
        <v>1</v>
      </c>
      <c r="C25" s="38"/>
      <c r="D25" s="44"/>
      <c r="E25" s="11"/>
      <c r="F25" s="11"/>
      <c r="G25" s="16"/>
      <c r="H25" s="47"/>
      <c r="I25" s="44"/>
      <c r="J25" s="11"/>
      <c r="K25" s="11"/>
      <c r="L25" s="16"/>
      <c r="M25" s="47"/>
      <c r="N25" s="44"/>
      <c r="O25" s="11"/>
      <c r="P25" s="11"/>
      <c r="Q25" s="16"/>
      <c r="R25" s="47"/>
      <c r="S25" s="44"/>
      <c r="T25" s="11"/>
      <c r="U25" s="11"/>
      <c r="V25" s="16"/>
      <c r="W25" s="47"/>
      <c r="X25" s="44"/>
      <c r="Y25" s="11"/>
      <c r="Z25" s="11"/>
      <c r="AA25" s="16"/>
    </row>
    <row r="26" spans="1:27" ht="15.75" thickBot="1" x14ac:dyDescent="0.3">
      <c r="A26" s="24"/>
      <c r="B26" s="25">
        <v>2</v>
      </c>
      <c r="C26" s="39"/>
      <c r="D26" s="45"/>
      <c r="E26" s="28"/>
      <c r="F26" s="28"/>
      <c r="G26" s="30"/>
      <c r="H26" s="48"/>
      <c r="I26" s="45"/>
      <c r="J26" s="28"/>
      <c r="K26" s="28"/>
      <c r="L26" s="30"/>
      <c r="M26" s="48"/>
      <c r="N26" s="45"/>
      <c r="O26" s="28"/>
      <c r="P26" s="28"/>
      <c r="Q26" s="30"/>
      <c r="R26" s="48"/>
      <c r="S26" s="45"/>
      <c r="T26" s="28"/>
      <c r="U26" s="28"/>
      <c r="V26" s="30"/>
      <c r="W26" s="48"/>
      <c r="X26" s="45"/>
      <c r="Y26" s="28"/>
      <c r="Z26" s="28"/>
      <c r="AA26" s="30"/>
    </row>
    <row r="27" spans="1:27" x14ac:dyDescent="0.25">
      <c r="A27" s="4">
        <v>13</v>
      </c>
      <c r="B27" s="22">
        <v>1</v>
      </c>
      <c r="C27" s="36"/>
      <c r="D27" s="42"/>
      <c r="E27" s="9"/>
      <c r="F27" s="9"/>
      <c r="G27" s="19"/>
      <c r="H27" s="46"/>
      <c r="I27" s="42"/>
      <c r="J27" s="9"/>
      <c r="K27" s="9"/>
      <c r="L27" s="19"/>
      <c r="M27" s="46"/>
      <c r="N27" s="42"/>
      <c r="O27" s="9"/>
      <c r="P27" s="9"/>
      <c r="Q27" s="19"/>
      <c r="R27" s="46"/>
      <c r="S27" s="42"/>
      <c r="T27" s="9"/>
      <c r="U27" s="9"/>
      <c r="V27" s="19"/>
      <c r="W27" s="46"/>
      <c r="X27" s="42"/>
      <c r="Y27" s="9"/>
      <c r="Z27" s="9"/>
      <c r="AA27" s="19"/>
    </row>
    <row r="28" spans="1:27" ht="15.75" thickBot="1" x14ac:dyDescent="0.3">
      <c r="A28" s="24"/>
      <c r="B28" s="25">
        <v>2</v>
      </c>
      <c r="C28" s="36"/>
      <c r="D28" s="42"/>
      <c r="E28" s="10"/>
      <c r="F28" s="9"/>
      <c r="G28" s="19"/>
      <c r="H28" s="46"/>
      <c r="I28" s="42"/>
      <c r="J28" s="9"/>
      <c r="K28" s="9"/>
      <c r="L28" s="19"/>
      <c r="M28" s="46"/>
      <c r="N28" s="42"/>
      <c r="O28" s="9"/>
      <c r="P28" s="9"/>
      <c r="Q28" s="19"/>
      <c r="R28" s="46"/>
      <c r="S28" s="42"/>
      <c r="T28" s="9"/>
      <c r="U28" s="9"/>
      <c r="V28" s="19"/>
      <c r="W28" s="46"/>
      <c r="X28" s="42"/>
      <c r="Y28" s="9"/>
      <c r="Z28" s="9"/>
      <c r="AA28" s="19"/>
    </row>
    <row r="29" spans="1:27" x14ac:dyDescent="0.25">
      <c r="A29" s="4">
        <v>14</v>
      </c>
      <c r="B29" s="22">
        <v>1</v>
      </c>
      <c r="C29" s="38"/>
      <c r="D29" s="44"/>
      <c r="E29" s="11"/>
      <c r="F29" s="11"/>
      <c r="G29" s="16"/>
      <c r="H29" s="47"/>
      <c r="I29" s="44"/>
      <c r="J29" s="11"/>
      <c r="K29" s="11"/>
      <c r="L29" s="16"/>
      <c r="M29" s="47"/>
      <c r="N29" s="44"/>
      <c r="O29" s="11"/>
      <c r="P29" s="11"/>
      <c r="Q29" s="16"/>
      <c r="R29" s="47"/>
      <c r="S29" s="44"/>
      <c r="T29" s="11"/>
      <c r="U29" s="11"/>
      <c r="V29" s="16"/>
      <c r="W29" s="47"/>
      <c r="X29" s="44"/>
      <c r="Y29" s="11"/>
      <c r="Z29" s="11"/>
      <c r="AA29" s="16"/>
    </row>
    <row r="30" spans="1:27" ht="15.75" thickBot="1" x14ac:dyDescent="0.3">
      <c r="A30" s="24"/>
      <c r="B30" s="25">
        <v>2</v>
      </c>
      <c r="C30" s="39"/>
      <c r="D30" s="45"/>
      <c r="E30" s="28"/>
      <c r="F30" s="28"/>
      <c r="G30" s="30"/>
      <c r="H30" s="48"/>
      <c r="I30" s="45"/>
      <c r="J30" s="28"/>
      <c r="K30" s="28"/>
      <c r="L30" s="30"/>
      <c r="M30" s="48"/>
      <c r="N30" s="45"/>
      <c r="O30" s="28"/>
      <c r="P30" s="28"/>
      <c r="Q30" s="30"/>
      <c r="R30" s="48"/>
      <c r="S30" s="45"/>
      <c r="T30" s="28"/>
      <c r="U30" s="28"/>
      <c r="V30" s="30"/>
      <c r="W30" s="48"/>
      <c r="X30" s="45"/>
      <c r="Y30" s="28"/>
      <c r="Z30" s="28"/>
      <c r="AA30" s="30"/>
    </row>
    <row r="31" spans="1:27" x14ac:dyDescent="0.25">
      <c r="A31" s="4">
        <v>15</v>
      </c>
      <c r="B31" s="22">
        <v>1</v>
      </c>
      <c r="C31" s="36"/>
      <c r="D31" s="42"/>
      <c r="E31" s="9"/>
      <c r="F31" s="9"/>
      <c r="G31" s="19"/>
      <c r="H31" s="46"/>
      <c r="I31" s="42"/>
      <c r="J31" s="9"/>
      <c r="K31" s="9"/>
      <c r="L31" s="19"/>
      <c r="M31" s="46"/>
      <c r="N31" s="42"/>
      <c r="O31" s="9"/>
      <c r="P31" s="9"/>
      <c r="Q31" s="19"/>
      <c r="R31" s="46"/>
      <c r="S31" s="42"/>
      <c r="T31" s="9"/>
      <c r="U31" s="9"/>
      <c r="V31" s="19"/>
      <c r="W31" s="46"/>
      <c r="X31" s="42"/>
      <c r="Y31" s="9"/>
      <c r="Z31" s="9"/>
      <c r="AA31" s="19"/>
    </row>
    <row r="32" spans="1:27" ht="15.75" thickBot="1" x14ac:dyDescent="0.3">
      <c r="A32" s="24"/>
      <c r="B32" s="25">
        <v>2</v>
      </c>
      <c r="C32" s="36"/>
      <c r="D32" s="42"/>
      <c r="E32" s="10"/>
      <c r="F32" s="9"/>
      <c r="G32" s="19"/>
      <c r="H32" s="46"/>
      <c r="I32" s="42"/>
      <c r="J32" s="9"/>
      <c r="K32" s="9"/>
      <c r="L32" s="19"/>
      <c r="M32" s="46"/>
      <c r="N32" s="42"/>
      <c r="O32" s="9"/>
      <c r="P32" s="9"/>
      <c r="Q32" s="19"/>
      <c r="R32" s="46"/>
      <c r="S32" s="42"/>
      <c r="T32" s="9"/>
      <c r="U32" s="9"/>
      <c r="V32" s="19"/>
      <c r="W32" s="46"/>
      <c r="X32" s="42"/>
      <c r="Y32" s="9"/>
      <c r="Z32" s="9"/>
      <c r="AA32" s="1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10</vt:i4>
      </vt:variant>
      <vt:variant>
        <vt:lpstr>Nazwane zakresy</vt:lpstr>
      </vt:variant>
      <vt:variant>
        <vt:i4>1</vt:i4>
      </vt:variant>
    </vt:vector>
  </HeadingPairs>
  <TitlesOfParts>
    <vt:vector size="11" baseType="lpstr">
      <vt:lpstr>RESULTS</vt:lpstr>
      <vt:lpstr>ADDITIONALS</vt:lpstr>
      <vt:lpstr>RESULTS_DELTA</vt:lpstr>
      <vt:lpstr>Diagrams_D</vt:lpstr>
      <vt:lpstr>GENERATE</vt:lpstr>
      <vt:lpstr>swipe_mesh</vt:lpstr>
      <vt:lpstr>Excel2LaTeX</vt:lpstr>
      <vt:lpstr>click_mesh</vt:lpstr>
      <vt:lpstr>swipe_2d</vt:lpstr>
      <vt:lpstr>click_2d</vt:lpstr>
      <vt:lpstr>RESULTS!Obszar_wydruku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Hubert</dc:creator>
  <cp:lastModifiedBy>Hubert</cp:lastModifiedBy>
  <cp:lastPrinted>2018-07-26T20:02:01Z</cp:lastPrinted>
  <dcterms:created xsi:type="dcterms:W3CDTF">2018-07-23T19:49:12Z</dcterms:created>
  <dcterms:modified xsi:type="dcterms:W3CDTF">2018-09-12T21:37:43Z</dcterms:modified>
</cp:coreProperties>
</file>